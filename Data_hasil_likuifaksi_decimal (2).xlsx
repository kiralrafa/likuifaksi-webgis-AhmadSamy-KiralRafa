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1" autoFilterDateGrouping="1"/>
  </bookViews>
  <sheets>
    <sheet xmlns:r="http://schemas.openxmlformats.org/officeDocument/2006/relationships" name="Hasil Utama" sheetId="1" state="visible" r:id="rId1"/>
    <sheet xmlns:r="http://schemas.openxmlformats.org/officeDocument/2006/relationships" name="Hasil Perhitungan SPT" sheetId="2" state="visible" r:id="rId2"/>
    <sheet xmlns:r="http://schemas.openxmlformats.org/officeDocument/2006/relationships" name="Tabel LPI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 vertical="top"/>
    </xf>
    <xf numFmtId="0" fontId="0" fillId="2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6" applyAlignment="1" pivotButton="0" quotePrefix="0" xfId="0">
      <alignment horizontal="center"/>
    </xf>
    <xf numFmtId="16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C29" sqref="C29"/>
    </sheetView>
  </sheetViews>
  <sheetFormatPr baseColWidth="8" defaultRowHeight="14.4"/>
  <cols>
    <col width="14" customWidth="1" min="1" max="1"/>
    <col width="16.6640625" customWidth="1" min="3" max="3"/>
    <col width="17.21875" customWidth="1" min="4" max="4"/>
  </cols>
  <sheetData>
    <row r="1">
      <c r="A1" s="4" t="inlineStr">
        <is>
          <t>Data Analisis Potensi Likuifaksi titik BH08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</row>
    <row r="2">
      <c r="A2" s="1" t="inlineStr">
        <is>
          <t>Kedalaman_m</t>
        </is>
      </c>
      <c r="B2" s="1" t="inlineStr">
        <is>
          <t>N_SPT</t>
        </is>
      </c>
      <c r="C2" s="1" t="inlineStr">
        <is>
          <t>Tegangan_Total</t>
        </is>
      </c>
      <c r="D2" s="1" t="inlineStr">
        <is>
          <t>Tegangan_Efektif</t>
        </is>
      </c>
      <c r="E2" s="1" t="inlineStr">
        <is>
          <t>rd</t>
        </is>
      </c>
      <c r="F2" s="1" t="inlineStr">
        <is>
          <t>CSR</t>
        </is>
      </c>
      <c r="G2" s="1" t="inlineStr">
        <is>
          <t>CN</t>
        </is>
      </c>
      <c r="H2" s="1" t="inlineStr">
        <is>
          <t>N1_60cs</t>
        </is>
      </c>
      <c r="I2" s="1" t="inlineStr">
        <is>
          <t>CRR</t>
        </is>
      </c>
      <c r="J2" s="1" t="inlineStr">
        <is>
          <t>FS</t>
        </is>
      </c>
      <c r="K2" s="1" t="inlineStr">
        <is>
          <t>Status</t>
        </is>
      </c>
    </row>
    <row r="3">
      <c r="A3" s="2" t="n">
        <v>2</v>
      </c>
      <c r="B3" s="2" t="n">
        <v>22</v>
      </c>
      <c r="C3" s="2" t="n">
        <v>36</v>
      </c>
      <c r="D3" s="2" t="n">
        <v>36</v>
      </c>
      <c r="E3" s="2">
        <f>(1 - 0.4113*SQRT(A3) + 0.04052*A3 + 0.001753*A3^(1.5)) /
 (1 - 0.4177*SQRT(A3) + 0.05729*A3 - 0.006205*A3^(1.5) + 0.00121*A3^2)</f>
        <v/>
      </c>
      <c r="F3" s="2" t="n">
        <v>0.2308776917918236</v>
      </c>
      <c r="G3" s="2" t="n">
        <v>1.40386727676875</v>
      </c>
      <c r="H3" s="2" t="n">
        <v>23.16381006668437</v>
      </c>
      <c r="I3" s="2" t="n">
        <v>0.252266216749674</v>
      </c>
      <c r="J3" s="2" t="n">
        <v>1.092640067526038</v>
      </c>
      <c r="K3" s="2" t="inlineStr">
        <is>
          <t>Aman</t>
        </is>
      </c>
    </row>
    <row r="4">
      <c r="A4" s="2" t="n">
        <v>4</v>
      </c>
      <c r="B4" s="2" t="n">
        <v>24</v>
      </c>
      <c r="C4" s="2" t="n">
        <v>72</v>
      </c>
      <c r="D4" s="2" t="n">
        <v>72</v>
      </c>
      <c r="E4" s="2">
        <f>(1 - 0.4113*SQRT(A4) + 0.04052*A4 + 0.001753*A4^(1.5)) /
 (1 - 0.4177*SQRT(A4) + 0.05729*A4 - 0.006205*A4^(1.5) + 0.00121*A4^2)</f>
        <v/>
      </c>
      <c r="F4" s="2" t="n">
        <v>0.2275776824034335</v>
      </c>
      <c r="G4" s="2" t="n">
        <v>1.137421499036268</v>
      </c>
      <c r="H4" s="2" t="n">
        <v>20.47358698265282</v>
      </c>
      <c r="I4" s="2" t="n">
        <v>0.2117510824313404</v>
      </c>
      <c r="J4" s="2" t="n">
        <v>0.9304562740733214</v>
      </c>
      <c r="K4" s="2" t="inlineStr">
        <is>
          <t>Rentan</t>
        </is>
      </c>
    </row>
    <row r="5">
      <c r="A5" s="2" t="n">
        <v>6</v>
      </c>
      <c r="B5" s="2" t="n">
        <v>22</v>
      </c>
      <c r="C5" s="2" t="n">
        <v>108</v>
      </c>
      <c r="D5" s="2" t="n">
        <v>108</v>
      </c>
      <c r="E5" s="2">
        <f>(1 - 0.4113*SQRT(A5) + 0.04052*A5 + 0.001753*A5^(1.5)) /
(1 - 0.4177*SQRT(A5) + 0.05729*A5 - 0.006205*A5^(1.5) + 0.00121*A5^2)</f>
        <v/>
      </c>
      <c r="F5" s="2" t="n">
        <v>0.2241025794439949</v>
      </c>
      <c r="G5" s="2" t="n">
        <v>0.9559817652668037</v>
      </c>
      <c r="H5" s="2" t="n">
        <v>15.77369912690226</v>
      </c>
      <c r="I5" s="2" t="n">
        <v>0.1627600383832442</v>
      </c>
      <c r="J5" s="2" t="n">
        <v>0.7262747210989567</v>
      </c>
      <c r="K5" s="2" t="inlineStr">
        <is>
          <t>Rentan</t>
        </is>
      </c>
    </row>
    <row r="6">
      <c r="A6" s="2" t="n">
        <v>8</v>
      </c>
      <c r="B6" s="2" t="n">
        <v>12</v>
      </c>
      <c r="C6" s="2" t="n">
        <v>144</v>
      </c>
      <c r="D6" s="2" t="n">
        <v>144</v>
      </c>
      <c r="E6" s="2">
        <f>(1 - 0.4113*SQRT(A6) + 0.04052*A6 + 0.001753*A6^(1.5)) /
(1 - 0.4177*SQRT(A6) + 0.05729*A6 - 0.006205*A6^(1.5) + 0.00121*A6^2)</f>
        <v/>
      </c>
      <c r="F6" s="2" t="n">
        <v>0.2193105691390051</v>
      </c>
      <c r="G6" s="2" t="n">
        <v>0.8244644587724207</v>
      </c>
      <c r="H6" s="2" t="n">
        <v>7.420180128951786</v>
      </c>
      <c r="I6" s="2" t="n">
        <v>0.1008544699327669</v>
      </c>
      <c r="J6" s="2" t="n">
        <v>0.4598705403424611</v>
      </c>
      <c r="K6" s="2" t="inlineStr">
        <is>
          <t>Rentan</t>
        </is>
      </c>
    </row>
    <row r="7">
      <c r="A7" s="2" t="n">
        <v>10</v>
      </c>
      <c r="B7" s="2" t="n">
        <v>22</v>
      </c>
      <c r="C7" s="2" t="n">
        <v>190</v>
      </c>
      <c r="D7" s="2" t="n">
        <v>170.38</v>
      </c>
      <c r="E7" s="2">
        <f>(1 - 0.4113*SQRT(A7) + 0.04052*A7 + 0.001753*A7^(1.5)) /
(1 - 0.4177*SQRT(A7) + 0.05729*A7 - 0.006205*A7^(1.5) + 0.00121*A7^2)</f>
        <v/>
      </c>
      <c r="F7" s="2" t="n">
        <v>0.2361390824283544</v>
      </c>
      <c r="G7" s="2" t="n">
        <v>0.7489613246166067</v>
      </c>
      <c r="H7" s="2" t="n">
        <v>12.35786185617401</v>
      </c>
      <c r="I7" s="2" t="n">
        <v>0.1351345590913757</v>
      </c>
      <c r="J7" s="2" t="n">
        <v>0.572266808618502</v>
      </c>
      <c r="K7" s="2" t="inlineStr">
        <is>
          <t>Rentan</t>
        </is>
      </c>
    </row>
    <row r="8">
      <c r="A8" s="2" t="n">
        <v>12</v>
      </c>
      <c r="B8" s="2" t="n">
        <v>15</v>
      </c>
      <c r="C8" s="2" t="n">
        <v>236</v>
      </c>
      <c r="D8" s="2" t="n">
        <v>196.76</v>
      </c>
      <c r="E8" s="2">
        <f>(1 - 0.4113*SQRT(A8) + 0.04052*A8 + 0.001753*A8^(1.5)) /
(1 - 0.4177*SQRT(A8) + 0.05729*A8 - 0.006205*A8^(1.5) + 0.00121*A8^2)</f>
        <v/>
      </c>
      <c r="F8" s="2" t="n">
        <v>0.2403962705789875</v>
      </c>
      <c r="G8" s="2" t="n">
        <v>0.6861269205620674</v>
      </c>
      <c r="H8" s="2" t="n">
        <v>7.718927856323258</v>
      </c>
      <c r="I8" s="2" t="n">
        <v>0.1027695957473505</v>
      </c>
      <c r="J8" s="2" t="n">
        <v>0.4275007906729706</v>
      </c>
      <c r="K8" s="2" t="inlineStr">
        <is>
          <t>Rentan</t>
        </is>
      </c>
    </row>
    <row r="9">
      <c r="A9" s="2" t="n">
        <v>14</v>
      </c>
      <c r="B9" s="2" t="n">
        <v>25</v>
      </c>
      <c r="C9" s="2" t="n">
        <v>282</v>
      </c>
      <c r="D9" s="2" t="n">
        <v>223.14</v>
      </c>
      <c r="E9" s="2">
        <f>(1 - 0.4113*SQRT(A9) + 0.04052*A9 + 0.001753*A9^(1.5)) /
(1 - 0.4177*SQRT(A9) + 0.05729*A9 - 0.006205*A9^(1.5) + 0.00121*A9^2)</f>
        <v/>
      </c>
      <c r="F9" s="2" t="n">
        <v>0.2348801985849104</v>
      </c>
      <c r="G9" s="2" t="n">
        <v>0.6330195012487561</v>
      </c>
      <c r="H9" s="2" t="n">
        <v>11.86911564841418</v>
      </c>
      <c r="I9" s="2" t="n">
        <v>0.1314834434432928</v>
      </c>
      <c r="J9" s="2" t="n">
        <v>0.5597893915087135</v>
      </c>
      <c r="K9" s="2" t="inlineStr">
        <is>
          <t>Rentan</t>
        </is>
      </c>
    </row>
    <row r="10">
      <c r="A10" s="2" t="n">
        <v>16</v>
      </c>
      <c r="B10" s="2" t="n">
        <v>23</v>
      </c>
      <c r="C10" s="2" t="n">
        <v>328</v>
      </c>
      <c r="D10" s="2" t="n">
        <v>249.52</v>
      </c>
      <c r="E10" s="2">
        <f>(1 - 0.4113*SQRT(A10) + 0.04052*A10 + 0.001753*A10^(1.5)) /
(1 - 0.4177*SQRT(A10) + 0.05729*A10 - 0.006205*A10^(1.5) + 0.00121*A10^2)</f>
        <v/>
      </c>
      <c r="F10" s="2" t="n">
        <v>0.2238125222638471</v>
      </c>
      <c r="G10" s="2" t="n">
        <v>0.5875426743849116</v>
      </c>
      <c r="H10" s="2" t="n">
        <v>10.13511113313972</v>
      </c>
      <c r="I10" s="2" t="n">
        <v>0.1190059260863285</v>
      </c>
      <c r="J10" s="2" t="n">
        <v>0.5317214822593139</v>
      </c>
      <c r="K10" s="2" t="inlineStr">
        <is>
          <t>Rentan</t>
        </is>
      </c>
    </row>
    <row r="11">
      <c r="A11" s="2" t="n">
        <v>18</v>
      </c>
      <c r="B11" s="2" t="n">
        <v>28</v>
      </c>
      <c r="C11" s="2" t="n">
        <v>374</v>
      </c>
      <c r="D11" s="2" t="n">
        <v>275.9</v>
      </c>
      <c r="E11" s="2">
        <f>(1 - 0.4113*SQRT(A11) + 0.04052*A11 + 0.001753*A11^(1.5)) /
(1 - 0.4177*SQRT(A11) + 0.05729*A11 - 0.006205*A11^(1.5) + 0.00121*A11^2)</f>
        <v/>
      </c>
      <c r="F11" s="2" t="n">
        <v>0.211590578968915</v>
      </c>
      <c r="G11" s="2" t="n">
        <v>0.5481620979970486</v>
      </c>
      <c r="H11" s="2" t="n">
        <v>11.51140405793802</v>
      </c>
      <c r="I11" s="2" t="n">
        <v>0.1288500850796488</v>
      </c>
      <c r="J11" s="2" t="n">
        <v>0.6089594617470103</v>
      </c>
      <c r="K11" s="2" t="inlineStr">
        <is>
          <t>Rentan</t>
        </is>
      </c>
    </row>
    <row r="12">
      <c r="A12" s="2" t="n">
        <v>20</v>
      </c>
      <c r="B12" s="2" t="n">
        <v>31</v>
      </c>
      <c r="C12" s="2" t="n">
        <v>420</v>
      </c>
      <c r="D12" s="2" t="n">
        <v>302.28</v>
      </c>
      <c r="E12" s="2">
        <f>(1 - 0.4113*SQRT(A12) + 0.04052*A12 + 0.001753*A12^(1.5)) /
(1 - 0.4177*SQRT(A12) + 0.05729*A12 - 0.006205*A12^(1.5) + 0.00121*A12^2)</f>
        <v/>
      </c>
      <c r="F12" s="2" t="n">
        <v>0.200934738744299</v>
      </c>
      <c r="G12" s="2" t="n">
        <v>0.5137289527173117</v>
      </c>
      <c r="H12" s="2" t="n">
        <v>11.9441981506775</v>
      </c>
      <c r="I12" s="2" t="n">
        <v>0.1320402893165325</v>
      </c>
      <c r="J12" s="2" t="n">
        <v>0.657130221193665</v>
      </c>
      <c r="K12" s="2" t="inlineStr">
        <is>
          <t>Rentan</t>
        </is>
      </c>
    </row>
    <row r="13">
      <c r="A13" s="2" t="n">
        <v>22</v>
      </c>
      <c r="B13" s="2" t="n">
        <v>52</v>
      </c>
      <c r="C13" s="2" t="n">
        <v>466</v>
      </c>
      <c r="D13" s="2" t="n">
        <v>328.66</v>
      </c>
      <c r="E13" s="2">
        <f>(1 - 0.4113*SQRT(A13) + 0.04052*A13 + 0.001753*A13^(1.5)) /
(1 - 0.4177*SQRT(A13) + 0.05729*A13 - 0.006205*A13^(1.5) + 0.00121*A13^2)</f>
        <v/>
      </c>
      <c r="F13" s="2" t="n">
        <v>0.1926587672761572</v>
      </c>
      <c r="G13" s="2" t="n">
        <v>0.4833660140090766</v>
      </c>
      <c r="H13" s="2" t="n">
        <v>18.85127454635399</v>
      </c>
      <c r="I13" s="2" t="n">
        <v>0.1926454317527211</v>
      </c>
      <c r="J13" s="2" t="n">
        <v>0.9999307816424621</v>
      </c>
      <c r="K13" s="2" t="inlineStr">
        <is>
          <t>Rentan</t>
        </is>
      </c>
    </row>
    <row r="14">
      <c r="A14" s="2" t="n">
        <v>24</v>
      </c>
      <c r="B14" s="2" t="n">
        <v>56</v>
      </c>
      <c r="C14" s="2" t="n">
        <v>512</v>
      </c>
      <c r="D14" s="2" t="n">
        <v>355.04</v>
      </c>
      <c r="E14" s="2">
        <f>(1 - 0.4113*SQRT(A14) + 0.04052*A14 + 0.001753*A14^(1.5)) /
(1 - 0.4177*SQRT(A14) + 0.05729*A14 - 0.006205*A14^(1.5) + 0.00121*A14^2)</f>
        <v/>
      </c>
      <c r="F14" s="2" t="n">
        <v>0.1865163280119204</v>
      </c>
      <c r="G14" s="2" t="n">
        <v>0.4563918706919457</v>
      </c>
      <c r="H14" s="2" t="n">
        <v>19.16845856906172</v>
      </c>
      <c r="I14" s="2" t="n">
        <v>0.1961512316686937</v>
      </c>
      <c r="J14" s="2" t="n">
        <v>1.051657159238936</v>
      </c>
      <c r="K14" s="2" t="inlineStr">
        <is>
          <t>Aman</t>
        </is>
      </c>
    </row>
    <row r="15">
      <c r="A15" s="2" t="n">
        <v>26</v>
      </c>
      <c r="B15" s="2" t="n">
        <v>45</v>
      </c>
      <c r="C15" s="2" t="n">
        <v>558</v>
      </c>
      <c r="D15" s="2" t="n">
        <v>381.42</v>
      </c>
      <c r="E15" s="2">
        <f>(1 - 0.4113*SQRT(A15) + 0.04052*A15 + 0.001753*A15^(1.5)) /
(1 - 0.4177*SQRT(A15) + 0.05729*A15 - 0.006205*A15^(1.5) + 0.00121*A15^2)</f>
        <v/>
      </c>
      <c r="F15" s="2" t="n">
        <v>0.1819549192980841</v>
      </c>
      <c r="G15" s="2" t="n">
        <v>0.4322691761477478</v>
      </c>
      <c r="H15" s="2" t="n">
        <v>14.58908469498649</v>
      </c>
      <c r="I15" s="2" t="n">
        <v>0.1526959515239625</v>
      </c>
      <c r="J15" s="2" t="n">
        <v>0.8391966104187121</v>
      </c>
      <c r="K15" s="2" t="inlineStr">
        <is>
          <t>Rentan</t>
        </is>
      </c>
    </row>
    <row r="16">
      <c r="A16" s="2" t="n">
        <v>28</v>
      </c>
      <c r="B16" s="2" t="n">
        <v>46</v>
      </c>
      <c r="C16" s="2" t="n">
        <v>604</v>
      </c>
      <c r="D16" s="2" t="n">
        <v>407.8</v>
      </c>
      <c r="E16" s="2">
        <f>(1 - 0.4113*SQRT(A16) + 0.04052*A16 + 0.001753*A16^(1.5)) /
(1 - 0.4177*SQRT(A16) + 0.05729*A16 - 0.006205*A16^(1.5) + 0.00121*A16^2)</f>
        <v/>
      </c>
      <c r="F16" s="2" t="n">
        <v>0.1784641111545273</v>
      </c>
      <c r="G16" s="2" t="n">
        <v>0.4105684868211721</v>
      </c>
      <c r="H16" s="2" t="n">
        <v>14.16461279533044</v>
      </c>
      <c r="I16" s="2" t="n">
        <v>0.1492282619755993</v>
      </c>
      <c r="J16" s="2" t="n">
        <v>0.8361807929348132</v>
      </c>
      <c r="K16" s="2" t="inlineStr">
        <is>
          <t>Rentan</t>
        </is>
      </c>
    </row>
    <row r="17">
      <c r="A17" s="2" t="n">
        <v>30</v>
      </c>
      <c r="B17" s="2" t="n">
        <v>60</v>
      </c>
      <c r="C17" s="2" t="n">
        <v>650</v>
      </c>
      <c r="D17" s="2" t="n">
        <v>434.1799999999999</v>
      </c>
      <c r="E17" s="2">
        <f>(1 - 0.4113*SQRT(A17) + 0.04052*A17 + 0.001753*A17^(1.5)) /
(1 - 0.4177*SQRT(A17) + 0.05729*A17 - 0.006205*A17^(1.5) + 0.00121*A17^2)</f>
        <v/>
      </c>
      <c r="F17" s="2" t="n">
        <v>0.1756659667878166</v>
      </c>
      <c r="G17" s="2" t="n">
        <v>0.3909424722827852</v>
      </c>
      <c r="H17" s="2" t="n">
        <v>17.59241125272533</v>
      </c>
      <c r="I17" s="2" t="n">
        <v>0.1796187020159718</v>
      </c>
      <c r="J17" s="2" t="n">
        <v>1.022501428708326</v>
      </c>
      <c r="K17" s="2" t="inlineStr">
        <is>
          <t>Aman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tabSelected="1" zoomScale="101" workbookViewId="0">
      <selection activeCell="J52" sqref="J52"/>
    </sheetView>
  </sheetViews>
  <sheetFormatPr baseColWidth="8" defaultRowHeight="14.4"/>
  <cols>
    <col width="14.5546875" customWidth="1" min="2" max="2"/>
    <col width="10.21875" customWidth="1" min="3" max="3"/>
    <col width="38.33203125" customWidth="1" min="4" max="4"/>
    <col width="12.33203125" customWidth="1" min="5" max="5"/>
    <col width="15.33203125" customWidth="1" min="6" max="6"/>
  </cols>
  <sheetData>
    <row r="1">
      <c r="A1" s="9" t="inlineStr">
        <is>
          <t>Hasil Perhitungan Data SPT di wilayah timur bandara soekarno Hatta</t>
        </is>
      </c>
    </row>
    <row r="2">
      <c r="A2" t="inlineStr">
        <is>
          <t>Titik</t>
        </is>
      </c>
      <c r="B2" t="inlineStr">
        <is>
          <t>Kedalaman</t>
        </is>
      </c>
      <c r="C2" t="inlineStr">
        <is>
          <t>fs terkecil</t>
        </is>
      </c>
      <c r="D2" t="inlineStr">
        <is>
          <t xml:space="preserve">keterangan </t>
        </is>
      </c>
      <c r="E2" t="inlineStr">
        <is>
          <t>Latitude</t>
        </is>
      </c>
      <c r="F2" t="inlineStr">
        <is>
          <t>Longitude</t>
        </is>
      </c>
      <c r="G2" t="inlineStr">
        <is>
          <t>Latitude_Decimal</t>
        </is>
      </c>
      <c r="H2" t="inlineStr">
        <is>
          <t>Longitude_Decimal</t>
        </is>
      </c>
    </row>
    <row r="3">
      <c r="A3" t="inlineStr">
        <is>
          <t>BH01</t>
        </is>
      </c>
      <c r="B3" t="n">
        <v>6</v>
      </c>
      <c r="C3" s="8" t="inlineStr">
        <is>
          <t>0,672</t>
        </is>
      </c>
      <c r="D3" t="inlineStr">
        <is>
          <t>likuifaksi</t>
        </is>
      </c>
      <c r="E3" t="inlineStr">
        <is>
          <t xml:space="preserve">  6° 7'2.54"S</t>
        </is>
      </c>
      <c r="F3" t="inlineStr">
        <is>
          <t>106°40'31.43"E</t>
        </is>
      </c>
      <c r="G3" t="n">
        <v>-6.117372222222222</v>
      </c>
      <c r="H3" t="n">
        <v>106.6753972222222</v>
      </c>
    </row>
    <row r="4">
      <c r="A4" t="inlineStr">
        <is>
          <t>BH01</t>
        </is>
      </c>
      <c r="B4" t="n">
        <v>7</v>
      </c>
      <c r="C4" s="8" t="inlineStr">
        <is>
          <t>0,672</t>
        </is>
      </c>
      <c r="D4" t="inlineStr">
        <is>
          <t>likuifaksi</t>
        </is>
      </c>
      <c r="E4" t="inlineStr">
        <is>
          <t xml:space="preserve">  6° 7'2.54"S</t>
        </is>
      </c>
      <c r="F4" t="inlineStr">
        <is>
          <t>106°40'31.43"E</t>
        </is>
      </c>
      <c r="G4" t="n">
        <v>-6.117372222222222</v>
      </c>
      <c r="H4" t="n">
        <v>106.6753972222222</v>
      </c>
    </row>
    <row r="5">
      <c r="A5" t="inlineStr">
        <is>
          <t>BH01</t>
        </is>
      </c>
      <c r="B5" t="n">
        <v>8</v>
      </c>
      <c r="C5" s="8" t="inlineStr">
        <is>
          <t>0,672</t>
        </is>
      </c>
      <c r="D5" t="inlineStr">
        <is>
          <t>likuifaksi</t>
        </is>
      </c>
      <c r="E5" t="inlineStr">
        <is>
          <t xml:space="preserve">  6° 7'2.54"S</t>
        </is>
      </c>
      <c r="F5" t="inlineStr">
        <is>
          <t>106°40'31.43"E</t>
        </is>
      </c>
      <c r="G5" t="n">
        <v>-6.117372222222222</v>
      </c>
      <c r="H5" t="n">
        <v>106.6753972222222</v>
      </c>
    </row>
    <row r="6">
      <c r="A6" t="inlineStr">
        <is>
          <t>BH01</t>
        </is>
      </c>
      <c r="B6" t="n">
        <v>9</v>
      </c>
      <c r="C6" s="8" t="inlineStr">
        <is>
          <t>0,672</t>
        </is>
      </c>
      <c r="D6" t="inlineStr">
        <is>
          <t>likuifaksi</t>
        </is>
      </c>
      <c r="E6" t="inlineStr">
        <is>
          <t xml:space="preserve">  6° 7'2.54"S</t>
        </is>
      </c>
      <c r="F6" t="inlineStr">
        <is>
          <t>106°40'31.43"E</t>
        </is>
      </c>
      <c r="G6" t="n">
        <v>-6.117372222222222</v>
      </c>
      <c r="H6" t="n">
        <v>106.6753972222222</v>
      </c>
    </row>
    <row r="7">
      <c r="A7" t="inlineStr">
        <is>
          <t>BH01</t>
        </is>
      </c>
      <c r="B7" t="n">
        <v>10</v>
      </c>
      <c r="C7" s="8" t="inlineStr">
        <is>
          <t>0,672</t>
        </is>
      </c>
      <c r="D7" t="inlineStr">
        <is>
          <t>likuifaksi</t>
        </is>
      </c>
      <c r="E7" t="inlineStr">
        <is>
          <t xml:space="preserve">  6° 7'2.54"S</t>
        </is>
      </c>
      <c r="F7" t="inlineStr">
        <is>
          <t>106°40'31.43"E</t>
        </is>
      </c>
      <c r="G7" t="n">
        <v>-6.117372222222222</v>
      </c>
      <c r="H7" t="n">
        <v>106.6753972222222</v>
      </c>
    </row>
    <row r="8">
      <c r="A8" t="inlineStr">
        <is>
          <t>BH02</t>
        </is>
      </c>
      <c r="B8" t="n">
        <v>6</v>
      </c>
      <c r="C8" s="8" t="inlineStr">
        <is>
          <t>0,525</t>
        </is>
      </c>
      <c r="D8" t="inlineStr">
        <is>
          <t>likuifaksi</t>
        </is>
      </c>
      <c r="E8" t="inlineStr">
        <is>
          <t xml:space="preserve">  6° 6'59.81"S</t>
        </is>
      </c>
      <c r="F8" t="inlineStr">
        <is>
          <t>106°40'36.62"E</t>
        </is>
      </c>
      <c r="G8" t="n">
        <v>-6.116613888888889</v>
      </c>
      <c r="H8" t="n">
        <v>106.6768388888889</v>
      </c>
    </row>
    <row r="9">
      <c r="A9" t="inlineStr">
        <is>
          <t>BH02</t>
        </is>
      </c>
      <c r="B9" t="n">
        <v>7</v>
      </c>
      <c r="C9" s="8" t="inlineStr">
        <is>
          <t>0,525</t>
        </is>
      </c>
      <c r="D9" t="inlineStr">
        <is>
          <t>likuifaksi</t>
        </is>
      </c>
      <c r="E9" t="inlineStr">
        <is>
          <t xml:space="preserve">  6° 6'59.81"S</t>
        </is>
      </c>
      <c r="F9" t="inlineStr">
        <is>
          <t>106°40'36.62"E</t>
        </is>
      </c>
      <c r="G9" t="n">
        <v>-6.116613888888889</v>
      </c>
      <c r="H9" t="n">
        <v>106.6768388888889</v>
      </c>
    </row>
    <row r="10">
      <c r="A10" t="inlineStr">
        <is>
          <t>BH02</t>
        </is>
      </c>
      <c r="B10" t="n">
        <v>8</v>
      </c>
      <c r="C10" s="8" t="inlineStr">
        <is>
          <t>0,525</t>
        </is>
      </c>
      <c r="D10" t="inlineStr">
        <is>
          <t>likuifaksi</t>
        </is>
      </c>
      <c r="E10" t="inlineStr">
        <is>
          <t xml:space="preserve">  6° 6'59.81"S</t>
        </is>
      </c>
      <c r="F10" t="inlineStr">
        <is>
          <t>106°40'36.62"E</t>
        </is>
      </c>
      <c r="G10" t="n">
        <v>-6.116613888888889</v>
      </c>
      <c r="H10" t="n">
        <v>106.6768388888889</v>
      </c>
    </row>
    <row r="11">
      <c r="A11" t="inlineStr">
        <is>
          <t>BH03</t>
        </is>
      </c>
      <c r="B11" t="n">
        <v>6</v>
      </c>
      <c r="C11" t="inlineStr">
        <is>
          <t>0,665</t>
        </is>
      </c>
      <c r="D11" t="inlineStr">
        <is>
          <t>likuifaksi</t>
        </is>
      </c>
      <c r="E11" t="inlineStr">
        <is>
          <t xml:space="preserve">  6° 7'6.95"S</t>
        </is>
      </c>
      <c r="F11" t="inlineStr">
        <is>
          <t>106°40'33.08"E</t>
        </is>
      </c>
      <c r="G11" t="n">
        <v>-6.118597222222222</v>
      </c>
      <c r="H11" t="n">
        <v>106.6758555555556</v>
      </c>
    </row>
    <row r="12">
      <c r="A12" t="inlineStr">
        <is>
          <t>BH03</t>
        </is>
      </c>
      <c r="B12" t="n">
        <v>7</v>
      </c>
      <c r="C12" t="inlineStr">
        <is>
          <t>0,666</t>
        </is>
      </c>
      <c r="D12" t="inlineStr">
        <is>
          <t>likuifaksi</t>
        </is>
      </c>
      <c r="E12" t="inlineStr">
        <is>
          <t xml:space="preserve">  6° 7'6.95"S</t>
        </is>
      </c>
      <c r="F12" t="inlineStr">
        <is>
          <t>106°40'33.08"E</t>
        </is>
      </c>
      <c r="G12" t="n">
        <v>-6.118597222222222</v>
      </c>
      <c r="H12" t="n">
        <v>106.6758555555556</v>
      </c>
    </row>
    <row r="13">
      <c r="A13" t="inlineStr">
        <is>
          <t>BH03</t>
        </is>
      </c>
      <c r="B13" t="n">
        <v>8</v>
      </c>
      <c r="C13" t="inlineStr">
        <is>
          <t>0,667</t>
        </is>
      </c>
      <c r="D13" t="inlineStr">
        <is>
          <t>likuifaksi</t>
        </is>
      </c>
      <c r="E13" t="inlineStr">
        <is>
          <t xml:space="preserve">  6° 7'6.95"S</t>
        </is>
      </c>
      <c r="F13" t="inlineStr">
        <is>
          <t>106°40'33.08"E</t>
        </is>
      </c>
      <c r="G13" t="n">
        <v>-6.118597222222222</v>
      </c>
      <c r="H13" t="n">
        <v>106.6758555555556</v>
      </c>
    </row>
    <row r="14">
      <c r="A14" t="inlineStr">
        <is>
          <t>BH04</t>
        </is>
      </c>
      <c r="B14" t="n">
        <v>6</v>
      </c>
      <c r="C14" t="inlineStr">
        <is>
          <t>0,73</t>
        </is>
      </c>
      <c r="D14" t="inlineStr">
        <is>
          <t>likuifaksi</t>
        </is>
      </c>
      <c r="E14" t="inlineStr">
        <is>
          <t xml:space="preserve">  6° 7'4.45"S</t>
        </is>
      </c>
      <c r="F14" t="inlineStr">
        <is>
          <t>106°40'38.51"E</t>
        </is>
      </c>
      <c r="G14" t="n">
        <v>-6.117902777777777</v>
      </c>
      <c r="H14" t="n">
        <v>106.6773638888889</v>
      </c>
    </row>
    <row r="15">
      <c r="A15" t="inlineStr">
        <is>
          <t>BH05</t>
        </is>
      </c>
      <c r="B15" t="n">
        <v>2</v>
      </c>
      <c r="C15" t="inlineStr">
        <is>
          <t>0,502</t>
        </is>
      </c>
      <c r="D15" t="inlineStr">
        <is>
          <t>likuifaksi</t>
        </is>
      </c>
      <c r="E15" t="inlineStr">
        <is>
          <t xml:space="preserve">  6° 7'10.61"S</t>
        </is>
      </c>
      <c r="F15" t="inlineStr">
        <is>
          <t>106°40'34.39"E</t>
        </is>
      </c>
      <c r="G15" t="n">
        <v>-6.119613888888889</v>
      </c>
      <c r="H15" t="n">
        <v>106.6762194444445</v>
      </c>
    </row>
    <row r="16">
      <c r="A16" t="inlineStr">
        <is>
          <t>BH05</t>
        </is>
      </c>
      <c r="B16" t="n">
        <v>3</v>
      </c>
      <c r="C16" t="inlineStr">
        <is>
          <t>0,502</t>
        </is>
      </c>
      <c r="D16" t="inlineStr">
        <is>
          <t>likuifaksi</t>
        </is>
      </c>
      <c r="E16" t="inlineStr">
        <is>
          <t xml:space="preserve">  6° 7'10.61"S</t>
        </is>
      </c>
      <c r="F16" t="inlineStr">
        <is>
          <t>106°40'34.39"E</t>
        </is>
      </c>
      <c r="G16" t="n">
        <v>-6.119613888888889</v>
      </c>
      <c r="H16" t="n">
        <v>106.6762194444445</v>
      </c>
    </row>
    <row r="17">
      <c r="A17" t="inlineStr">
        <is>
          <t>BH05</t>
        </is>
      </c>
      <c r="B17" t="n">
        <v>4</v>
      </c>
      <c r="C17" t="inlineStr">
        <is>
          <t>0,502</t>
        </is>
      </c>
      <c r="D17" t="inlineStr">
        <is>
          <t>likuifaksi</t>
        </is>
      </c>
      <c r="E17" t="inlineStr">
        <is>
          <t xml:space="preserve">  6° 7'10.61"S</t>
        </is>
      </c>
      <c r="F17" t="inlineStr">
        <is>
          <t>106°40'34.39"E</t>
        </is>
      </c>
      <c r="G17" t="n">
        <v>-6.119613888888889</v>
      </c>
      <c r="H17" t="n">
        <v>106.6762194444445</v>
      </c>
    </row>
    <row r="18">
      <c r="A18" t="inlineStr">
        <is>
          <t>BH05</t>
        </is>
      </c>
      <c r="B18" t="n">
        <v>5</v>
      </c>
      <c r="C18" t="inlineStr">
        <is>
          <t>0,502</t>
        </is>
      </c>
      <c r="D18" t="inlineStr">
        <is>
          <t>likuifaksi</t>
        </is>
      </c>
      <c r="E18" t="inlineStr">
        <is>
          <t xml:space="preserve">  6° 7'10.61"S</t>
        </is>
      </c>
      <c r="F18" t="inlineStr">
        <is>
          <t>106°40'34.39"E</t>
        </is>
      </c>
      <c r="G18" t="n">
        <v>-6.119613888888889</v>
      </c>
      <c r="H18" t="n">
        <v>106.6762194444445</v>
      </c>
    </row>
    <row r="19">
      <c r="A19" t="inlineStr">
        <is>
          <t>BH05</t>
        </is>
      </c>
      <c r="B19" t="n">
        <v>6</v>
      </c>
      <c r="C19" t="inlineStr">
        <is>
          <t>0,502</t>
        </is>
      </c>
      <c r="D19" t="inlineStr">
        <is>
          <t>likuifaksi</t>
        </is>
      </c>
      <c r="E19" t="inlineStr">
        <is>
          <t xml:space="preserve">  6° 7'10.61"S</t>
        </is>
      </c>
      <c r="F19" t="inlineStr">
        <is>
          <t>106°40'34.39"E</t>
        </is>
      </c>
      <c r="G19" t="n">
        <v>-6.119613888888889</v>
      </c>
      <c r="H19" t="n">
        <v>106.6762194444445</v>
      </c>
    </row>
    <row r="20">
      <c r="A20" t="inlineStr">
        <is>
          <t>BH05</t>
        </is>
      </c>
      <c r="B20" t="n">
        <v>7</v>
      </c>
      <c r="C20" t="inlineStr">
        <is>
          <t>0,502</t>
        </is>
      </c>
      <c r="D20" t="inlineStr">
        <is>
          <t>likuifaksi</t>
        </is>
      </c>
      <c r="E20" t="inlineStr">
        <is>
          <t xml:space="preserve">  6° 7'10.61"S</t>
        </is>
      </c>
      <c r="F20" t="inlineStr">
        <is>
          <t>106°40'34.39"E</t>
        </is>
      </c>
      <c r="G20" t="n">
        <v>-6.119613888888889</v>
      </c>
      <c r="H20" t="n">
        <v>106.6762194444445</v>
      </c>
    </row>
    <row r="21">
      <c r="A21" t="inlineStr">
        <is>
          <t>BH05</t>
        </is>
      </c>
      <c r="B21" t="n">
        <v>8</v>
      </c>
      <c r="C21" t="inlineStr">
        <is>
          <t>0,502</t>
        </is>
      </c>
      <c r="D21" t="inlineStr">
        <is>
          <t>likuifaksi</t>
        </is>
      </c>
      <c r="E21" t="inlineStr">
        <is>
          <t xml:space="preserve">  6° 7'10.61"S</t>
        </is>
      </c>
      <c r="F21" t="inlineStr">
        <is>
          <t>106°40'34.39"E</t>
        </is>
      </c>
      <c r="G21" t="n">
        <v>-6.119613888888889</v>
      </c>
      <c r="H21" t="n">
        <v>106.6762194444445</v>
      </c>
    </row>
    <row r="22">
      <c r="A22" t="inlineStr">
        <is>
          <t>BH06</t>
        </is>
      </c>
      <c r="B22" t="n">
        <v>6</v>
      </c>
      <c r="C22" t="inlineStr">
        <is>
          <t>0,851</t>
        </is>
      </c>
      <c r="D22" t="inlineStr">
        <is>
          <t>likuifaksi</t>
        </is>
      </c>
      <c r="E22" t="inlineStr">
        <is>
          <t xml:space="preserve">  6° 7'8.16"S</t>
        </is>
      </c>
      <c r="F22" t="inlineStr">
        <is>
          <t>106°40'40.04"E</t>
        </is>
      </c>
      <c r="G22" t="n">
        <v>-6.118933333333333</v>
      </c>
      <c r="H22" t="n">
        <v>106.6777888888889</v>
      </c>
    </row>
    <row r="23">
      <c r="A23" t="inlineStr">
        <is>
          <t>BH06</t>
        </is>
      </c>
      <c r="B23" t="n">
        <v>7</v>
      </c>
      <c r="C23" t="inlineStr">
        <is>
          <t>0,851</t>
        </is>
      </c>
      <c r="D23" t="inlineStr">
        <is>
          <t>likuifaksi</t>
        </is>
      </c>
      <c r="E23" t="inlineStr">
        <is>
          <t xml:space="preserve">  6° 7'8.16"S</t>
        </is>
      </c>
      <c r="F23" t="inlineStr">
        <is>
          <t>106°40'40.04"E</t>
        </is>
      </c>
      <c r="G23" t="n">
        <v>-6.118933333333333</v>
      </c>
      <c r="H23" t="n">
        <v>106.6777888888889</v>
      </c>
    </row>
    <row r="24">
      <c r="A24" t="inlineStr">
        <is>
          <t>BH06</t>
        </is>
      </c>
      <c r="B24" t="n">
        <v>8</v>
      </c>
      <c r="C24" t="inlineStr">
        <is>
          <t>0,851</t>
        </is>
      </c>
      <c r="D24" t="inlineStr">
        <is>
          <t>likuifaksi</t>
        </is>
      </c>
      <c r="E24" t="inlineStr">
        <is>
          <t xml:space="preserve">  6° 7'8.16"S</t>
        </is>
      </c>
      <c r="F24" t="inlineStr">
        <is>
          <t>106°40'40.04"E</t>
        </is>
      </c>
      <c r="G24" t="n">
        <v>-6.118933333333333</v>
      </c>
      <c r="H24" t="n">
        <v>106.6777888888889</v>
      </c>
    </row>
    <row r="25">
      <c r="A25" t="inlineStr">
        <is>
          <t>BH06</t>
        </is>
      </c>
      <c r="B25" t="n">
        <v>9</v>
      </c>
      <c r="C25" t="inlineStr">
        <is>
          <t>0,851</t>
        </is>
      </c>
      <c r="D25" t="inlineStr">
        <is>
          <t>likuifaksi</t>
        </is>
      </c>
      <c r="E25" t="inlineStr">
        <is>
          <t xml:space="preserve">  6° 7'8.16"S</t>
        </is>
      </c>
      <c r="F25" t="inlineStr">
        <is>
          <t>106°40'40.04"E</t>
        </is>
      </c>
      <c r="G25" t="n">
        <v>-6.118933333333333</v>
      </c>
      <c r="H25" t="n">
        <v>106.6777888888889</v>
      </c>
    </row>
    <row r="26">
      <c r="A26" t="inlineStr">
        <is>
          <t>BH06</t>
        </is>
      </c>
      <c r="B26" t="n">
        <v>10</v>
      </c>
      <c r="C26" t="inlineStr">
        <is>
          <t>0,851</t>
        </is>
      </c>
      <c r="D26" t="inlineStr">
        <is>
          <t>likuifaksi</t>
        </is>
      </c>
      <c r="E26" t="inlineStr">
        <is>
          <t xml:space="preserve">  6° 7'8.16"S</t>
        </is>
      </c>
      <c r="F26" t="inlineStr">
        <is>
          <t>106°40'40.04"E</t>
        </is>
      </c>
      <c r="G26" t="n">
        <v>-6.118933333333333</v>
      </c>
      <c r="H26" t="n">
        <v>106.6777888888889</v>
      </c>
    </row>
    <row r="27">
      <c r="A27" t="inlineStr">
        <is>
          <t>BH06</t>
        </is>
      </c>
      <c r="B27" t="n">
        <v>11</v>
      </c>
      <c r="C27" t="inlineStr">
        <is>
          <t>0,851</t>
        </is>
      </c>
      <c r="D27" t="inlineStr">
        <is>
          <t>likuifaksi</t>
        </is>
      </c>
      <c r="E27" t="inlineStr">
        <is>
          <t xml:space="preserve">  6° 7'8.16"S</t>
        </is>
      </c>
      <c r="F27" t="inlineStr">
        <is>
          <t>106°40'40.04"E</t>
        </is>
      </c>
      <c r="G27" t="n">
        <v>-6.118933333333333</v>
      </c>
      <c r="H27" t="n">
        <v>106.6777888888889</v>
      </c>
    </row>
    <row r="28">
      <c r="A28" t="inlineStr">
        <is>
          <t>BH06</t>
        </is>
      </c>
      <c r="B28" t="n">
        <v>12</v>
      </c>
      <c r="C28" t="inlineStr">
        <is>
          <t>0,851</t>
        </is>
      </c>
      <c r="D28" t="inlineStr">
        <is>
          <t>likuifaksi</t>
        </is>
      </c>
      <c r="E28" t="inlineStr">
        <is>
          <t xml:space="preserve">  6° 7'8.16"S</t>
        </is>
      </c>
      <c r="F28" t="inlineStr">
        <is>
          <t>106°40'40.04"E</t>
        </is>
      </c>
      <c r="G28" t="n">
        <v>-6.118933333333333</v>
      </c>
      <c r="H28" t="n">
        <v>106.6777888888889</v>
      </c>
    </row>
    <row r="29">
      <c r="A29" t="inlineStr">
        <is>
          <t>BH07</t>
        </is>
      </c>
      <c r="B29" t="n">
        <v>8</v>
      </c>
      <c r="C29" t="inlineStr">
        <is>
          <t>0,453</t>
        </is>
      </c>
      <c r="D29" t="inlineStr">
        <is>
          <t>likuifaksi</t>
        </is>
      </c>
      <c r="E29" t="inlineStr">
        <is>
          <t xml:space="preserve">  6° 6'53.82"S</t>
        </is>
      </c>
      <c r="F29" t="inlineStr">
        <is>
          <t>106°40'30.36"E</t>
        </is>
      </c>
      <c r="G29" t="n">
        <v>-6.114949999999999</v>
      </c>
      <c r="H29" t="n">
        <v>106.6751</v>
      </c>
    </row>
    <row r="30">
      <c r="A30" t="inlineStr">
        <is>
          <t>BH08</t>
        </is>
      </c>
      <c r="B30" t="n">
        <v>6</v>
      </c>
      <c r="C30" t="inlineStr">
        <is>
          <t>0,468</t>
        </is>
      </c>
      <c r="D30" t="inlineStr">
        <is>
          <t>likuifaksi</t>
        </is>
      </c>
      <c r="E30" t="inlineStr">
        <is>
          <t xml:space="preserve">  6° 6'42.89"S</t>
        </is>
      </c>
      <c r="F30" t="inlineStr">
        <is>
          <t>106°40'25.83"E</t>
        </is>
      </c>
      <c r="G30" t="n">
        <v>-6.111913888888888</v>
      </c>
      <c r="H30" t="n">
        <v>106.6738416666667</v>
      </c>
    </row>
    <row r="31">
      <c r="A31" t="inlineStr">
        <is>
          <t>BH08</t>
        </is>
      </c>
      <c r="B31" t="n">
        <v>7</v>
      </c>
      <c r="C31" t="inlineStr">
        <is>
          <t>0,468</t>
        </is>
      </c>
      <c r="D31" t="inlineStr">
        <is>
          <t>likuifaksi</t>
        </is>
      </c>
      <c r="E31" t="inlineStr">
        <is>
          <t xml:space="preserve">  6° 6'42.89"S</t>
        </is>
      </c>
      <c r="F31" t="inlineStr">
        <is>
          <t>106°40'25.83"E</t>
        </is>
      </c>
      <c r="G31" t="n">
        <v>-6.111913888888888</v>
      </c>
      <c r="H31" t="n">
        <v>106.6738416666667</v>
      </c>
    </row>
    <row r="32">
      <c r="A32" t="inlineStr">
        <is>
          <t>BH08</t>
        </is>
      </c>
      <c r="B32" t="n">
        <v>8</v>
      </c>
      <c r="C32" t="inlineStr">
        <is>
          <t>0,468</t>
        </is>
      </c>
      <c r="D32" t="inlineStr">
        <is>
          <t>likuifaksi</t>
        </is>
      </c>
      <c r="E32" t="inlineStr">
        <is>
          <t xml:space="preserve">  6° 6'42.89"S</t>
        </is>
      </c>
      <c r="F32" t="inlineStr">
        <is>
          <t>106°40'25.83"E</t>
        </is>
      </c>
      <c r="G32" t="n">
        <v>-6.111913888888888</v>
      </c>
      <c r="H32" t="n">
        <v>106.6738416666667</v>
      </c>
    </row>
    <row r="33">
      <c r="A33" t="inlineStr">
        <is>
          <t>BH08</t>
        </is>
      </c>
      <c r="B33" t="n">
        <v>9</v>
      </c>
      <c r="C33" t="inlineStr">
        <is>
          <t>0,468</t>
        </is>
      </c>
      <c r="D33" t="inlineStr">
        <is>
          <t>likuifaksi</t>
        </is>
      </c>
      <c r="E33" t="inlineStr">
        <is>
          <t xml:space="preserve">  6° 6'42.89"S</t>
        </is>
      </c>
      <c r="F33" t="inlineStr">
        <is>
          <t>106°40'25.83"E</t>
        </is>
      </c>
      <c r="G33" t="n">
        <v>-6.111913888888888</v>
      </c>
      <c r="H33" t="n">
        <v>106.6738416666667</v>
      </c>
    </row>
    <row r="34">
      <c r="A34" t="inlineStr">
        <is>
          <t>BH08</t>
        </is>
      </c>
      <c r="B34" t="n">
        <v>10</v>
      </c>
      <c r="C34" t="inlineStr">
        <is>
          <t>0,468</t>
        </is>
      </c>
      <c r="D34" t="inlineStr">
        <is>
          <t>likuifaksi</t>
        </is>
      </c>
      <c r="E34" t="inlineStr">
        <is>
          <t xml:space="preserve">  6° 6'42.89"S</t>
        </is>
      </c>
      <c r="F34" t="inlineStr">
        <is>
          <t>106°40'25.83"E</t>
        </is>
      </c>
      <c r="G34" t="n">
        <v>-6.111913888888888</v>
      </c>
      <c r="H34" t="n">
        <v>106.6738416666667</v>
      </c>
    </row>
    <row r="35">
      <c r="A35" t="inlineStr">
        <is>
          <t>BH08</t>
        </is>
      </c>
      <c r="B35" t="n">
        <v>11</v>
      </c>
      <c r="C35" t="inlineStr">
        <is>
          <t>0,468</t>
        </is>
      </c>
      <c r="D35" t="inlineStr">
        <is>
          <t>likuifaksi</t>
        </is>
      </c>
      <c r="E35" t="inlineStr">
        <is>
          <t xml:space="preserve">  6° 6'42.89"S</t>
        </is>
      </c>
      <c r="F35" t="inlineStr">
        <is>
          <t>106°40'25.83"E</t>
        </is>
      </c>
      <c r="G35" t="n">
        <v>-6.111913888888888</v>
      </c>
      <c r="H35" t="n">
        <v>106.6738416666667</v>
      </c>
    </row>
    <row r="36">
      <c r="A36" t="inlineStr">
        <is>
          <t>BH08</t>
        </is>
      </c>
      <c r="B36" t="n">
        <v>12</v>
      </c>
      <c r="C36" t="inlineStr">
        <is>
          <t>0,468</t>
        </is>
      </c>
      <c r="D36" t="inlineStr">
        <is>
          <t>likuifaksi</t>
        </is>
      </c>
      <c r="E36" t="inlineStr">
        <is>
          <t xml:space="preserve">  6° 6'42.89"S</t>
        </is>
      </c>
      <c r="F36" t="inlineStr">
        <is>
          <t>106°40'25.83"E</t>
        </is>
      </c>
      <c r="G36" t="n">
        <v>-6.111913888888888</v>
      </c>
      <c r="H36" t="n">
        <v>106.6738416666667</v>
      </c>
    </row>
    <row r="37">
      <c r="A37" t="inlineStr">
        <is>
          <t>BH08</t>
        </is>
      </c>
      <c r="B37" t="n">
        <v>13</v>
      </c>
      <c r="C37" t="inlineStr">
        <is>
          <t>0,468</t>
        </is>
      </c>
      <c r="D37" t="inlineStr">
        <is>
          <t>likuifaksi</t>
        </is>
      </c>
      <c r="E37" t="inlineStr">
        <is>
          <t xml:space="preserve">  6° 6'42.89"S</t>
        </is>
      </c>
      <c r="F37" t="inlineStr">
        <is>
          <t>106°40'25.83"E</t>
        </is>
      </c>
      <c r="G37" t="n">
        <v>-6.111913888888888</v>
      </c>
      <c r="H37" t="n">
        <v>106.6738416666667</v>
      </c>
    </row>
    <row r="38">
      <c r="A38" t="inlineStr">
        <is>
          <t>BH08</t>
        </is>
      </c>
      <c r="B38" t="n">
        <v>14</v>
      </c>
      <c r="C38" t="inlineStr">
        <is>
          <t>0,468</t>
        </is>
      </c>
      <c r="D38" t="inlineStr">
        <is>
          <t>likuifaksi</t>
        </is>
      </c>
      <c r="E38" t="inlineStr">
        <is>
          <t xml:space="preserve">  6° 6'42.89"S</t>
        </is>
      </c>
      <c r="F38" t="inlineStr">
        <is>
          <t>106°40'25.83"E</t>
        </is>
      </c>
      <c r="G38" t="n">
        <v>-6.111913888888888</v>
      </c>
      <c r="H38" t="n">
        <v>106.6738416666667</v>
      </c>
    </row>
    <row r="39">
      <c r="A39" t="inlineStr">
        <is>
          <t>BH08</t>
        </is>
      </c>
      <c r="B39" t="n">
        <v>15</v>
      </c>
      <c r="C39" t="inlineStr">
        <is>
          <t>0,468</t>
        </is>
      </c>
      <c r="D39" t="inlineStr">
        <is>
          <t>likuifaksi</t>
        </is>
      </c>
      <c r="E39" t="inlineStr">
        <is>
          <t xml:space="preserve">  6° 6'42.89"S</t>
        </is>
      </c>
      <c r="F39" t="inlineStr">
        <is>
          <t>106°40'25.83"E</t>
        </is>
      </c>
      <c r="G39" t="n">
        <v>-6.111913888888888</v>
      </c>
      <c r="H39" t="n">
        <v>106.6738416666667</v>
      </c>
    </row>
    <row r="40">
      <c r="A40" t="inlineStr">
        <is>
          <t>BH08</t>
        </is>
      </c>
      <c r="B40" t="n">
        <v>16</v>
      </c>
      <c r="C40" t="inlineStr">
        <is>
          <t>0,468</t>
        </is>
      </c>
      <c r="D40" t="inlineStr">
        <is>
          <t>likuifaksi</t>
        </is>
      </c>
      <c r="E40" t="inlineStr">
        <is>
          <t xml:space="preserve">  6° 6'42.89"S</t>
        </is>
      </c>
      <c r="F40" t="inlineStr">
        <is>
          <t>106°40'25.83"E</t>
        </is>
      </c>
      <c r="G40" t="n">
        <v>-6.111913888888888</v>
      </c>
      <c r="H40" t="n">
        <v>106.6738416666667</v>
      </c>
    </row>
    <row r="41">
      <c r="A41" t="inlineStr">
        <is>
          <t>BH08</t>
        </is>
      </c>
      <c r="B41" t="n">
        <v>17</v>
      </c>
      <c r="C41" t="inlineStr">
        <is>
          <t>0,468</t>
        </is>
      </c>
      <c r="D41" t="inlineStr">
        <is>
          <t>likuifaksi</t>
        </is>
      </c>
      <c r="E41" t="inlineStr">
        <is>
          <t xml:space="preserve">  6° 6'42.89"S</t>
        </is>
      </c>
      <c r="F41" t="inlineStr">
        <is>
          <t>106°40'25.83"E</t>
        </is>
      </c>
      <c r="G41" t="n">
        <v>-6.111913888888888</v>
      </c>
      <c r="H41" t="n">
        <v>106.6738416666667</v>
      </c>
    </row>
    <row r="42">
      <c r="A42" t="inlineStr">
        <is>
          <t>BH08</t>
        </is>
      </c>
      <c r="B42" t="n">
        <v>18</v>
      </c>
      <c r="C42" t="inlineStr">
        <is>
          <t>0,468</t>
        </is>
      </c>
      <c r="D42" t="inlineStr">
        <is>
          <t>likuifaksi</t>
        </is>
      </c>
      <c r="E42" t="inlineStr">
        <is>
          <t xml:space="preserve">  6° 6'42.89"S</t>
        </is>
      </c>
      <c r="F42" t="inlineStr">
        <is>
          <t>106°40'25.83"E</t>
        </is>
      </c>
      <c r="G42" t="n">
        <v>-6.111913888888888</v>
      </c>
      <c r="H42" t="n">
        <v>106.6738416666667</v>
      </c>
    </row>
    <row r="43">
      <c r="A43" t="inlineStr">
        <is>
          <t>BH08</t>
        </is>
      </c>
      <c r="B43" t="n">
        <v>19</v>
      </c>
      <c r="C43" t="inlineStr">
        <is>
          <t>0,468</t>
        </is>
      </c>
      <c r="D43" t="inlineStr">
        <is>
          <t>likuifaksi</t>
        </is>
      </c>
      <c r="E43" t="inlineStr">
        <is>
          <t xml:space="preserve">  6° 6'42.89"S</t>
        </is>
      </c>
      <c r="F43" t="inlineStr">
        <is>
          <t>106°40'25.83"E</t>
        </is>
      </c>
      <c r="G43" t="n">
        <v>-6.111913888888888</v>
      </c>
      <c r="H43" t="n">
        <v>106.6738416666667</v>
      </c>
    </row>
    <row r="44">
      <c r="A44" t="inlineStr">
        <is>
          <t>BH08</t>
        </is>
      </c>
      <c r="B44" t="n">
        <v>20</v>
      </c>
      <c r="C44" t="inlineStr">
        <is>
          <t>0,468</t>
        </is>
      </c>
      <c r="D44" t="inlineStr">
        <is>
          <t>likuifaksi</t>
        </is>
      </c>
      <c r="E44" t="inlineStr">
        <is>
          <t xml:space="preserve">  6° 6'42.89"S</t>
        </is>
      </c>
      <c r="F44" t="inlineStr">
        <is>
          <t>106°40'25.83"E</t>
        </is>
      </c>
      <c r="G44" t="n">
        <v>-6.111913888888888</v>
      </c>
      <c r="H44" t="n">
        <v>106.6738416666667</v>
      </c>
    </row>
    <row r="45">
      <c r="A45" t="inlineStr">
        <is>
          <t>BH09</t>
        </is>
      </c>
      <c r="B45" t="n">
        <v>4</v>
      </c>
      <c r="C45" t="inlineStr">
        <is>
          <t>0,514</t>
        </is>
      </c>
      <c r="D45" t="inlineStr">
        <is>
          <t>likuifaksi</t>
        </is>
      </c>
      <c r="E45" t="inlineStr">
        <is>
          <t xml:space="preserve">  6° 7'23.51"S</t>
        </is>
      </c>
      <c r="F45" t="inlineStr">
        <is>
          <t>106°40'42.62"E</t>
        </is>
      </c>
      <c r="G45" t="n">
        <v>-6.123197222222222</v>
      </c>
      <c r="H45" t="n">
        <v>106.6785055555556</v>
      </c>
    </row>
    <row r="46">
      <c r="A46" t="inlineStr">
        <is>
          <t>BH09</t>
        </is>
      </c>
      <c r="B46" t="n">
        <v>5</v>
      </c>
      <c r="C46" t="inlineStr">
        <is>
          <t>0,514</t>
        </is>
      </c>
      <c r="D46" t="inlineStr">
        <is>
          <t>likuifaksi</t>
        </is>
      </c>
      <c r="E46" t="inlineStr">
        <is>
          <t xml:space="preserve">  6° 7'23.51"S</t>
        </is>
      </c>
      <c r="F46" t="inlineStr">
        <is>
          <t>106°40'42.62"E</t>
        </is>
      </c>
      <c r="G46" t="n">
        <v>-6.123197222222222</v>
      </c>
      <c r="H46" t="n">
        <v>106.6785055555556</v>
      </c>
    </row>
    <row r="47">
      <c r="A47" t="inlineStr">
        <is>
          <t>BH09</t>
        </is>
      </c>
      <c r="B47" t="n">
        <v>6</v>
      </c>
      <c r="C47" t="inlineStr">
        <is>
          <t>0,514</t>
        </is>
      </c>
      <c r="D47" t="inlineStr">
        <is>
          <t>likuifaksi</t>
        </is>
      </c>
      <c r="E47" t="inlineStr">
        <is>
          <t xml:space="preserve">  6° 7'23.51"S</t>
        </is>
      </c>
      <c r="F47" t="inlineStr">
        <is>
          <t>106°40'42.62"E</t>
        </is>
      </c>
      <c r="G47" t="n">
        <v>-6.123197222222222</v>
      </c>
      <c r="H47" t="n">
        <v>106.6785055555556</v>
      </c>
    </row>
    <row r="48">
      <c r="A48" t="inlineStr">
        <is>
          <t>BH09</t>
        </is>
      </c>
      <c r="B48" t="n">
        <v>7</v>
      </c>
      <c r="C48" t="inlineStr">
        <is>
          <t>0,514</t>
        </is>
      </c>
      <c r="D48" t="inlineStr">
        <is>
          <t>likuifaksi</t>
        </is>
      </c>
      <c r="E48" t="inlineStr">
        <is>
          <t xml:space="preserve">  6° 7'23.51"S</t>
        </is>
      </c>
      <c r="F48" t="inlineStr">
        <is>
          <t>106°40'42.62"E</t>
        </is>
      </c>
      <c r="G48" t="n">
        <v>-6.123197222222222</v>
      </c>
      <c r="H48" t="n">
        <v>106.6785055555556</v>
      </c>
    </row>
    <row r="49">
      <c r="A49" t="inlineStr">
        <is>
          <t>BH09</t>
        </is>
      </c>
      <c r="B49" t="n">
        <v>8</v>
      </c>
      <c r="C49" t="inlineStr">
        <is>
          <t>0,514</t>
        </is>
      </c>
      <c r="D49" t="inlineStr">
        <is>
          <t>likuifaksi</t>
        </is>
      </c>
      <c r="E49" t="inlineStr">
        <is>
          <t xml:space="preserve">  6° 7'23.51"S</t>
        </is>
      </c>
      <c r="F49" t="inlineStr">
        <is>
          <t>106°40'42.62"E</t>
        </is>
      </c>
      <c r="G49" t="n">
        <v>-6.123197222222222</v>
      </c>
      <c r="H49" t="n">
        <v>106.6785055555556</v>
      </c>
    </row>
    <row r="50">
      <c r="A50" t="inlineStr">
        <is>
          <t>BH10</t>
        </is>
      </c>
      <c r="B50" t="n">
        <v>6</v>
      </c>
      <c r="C50" t="inlineStr">
        <is>
          <t>0,714</t>
        </is>
      </c>
      <c r="D50" t="inlineStr">
        <is>
          <t>likuifaksi</t>
        </is>
      </c>
      <c r="E50" t="inlineStr">
        <is>
          <t xml:space="preserve">  6° 7'34.01"S</t>
        </is>
      </c>
      <c r="F50" t="inlineStr">
        <is>
          <t>106°40'44.07"E</t>
        </is>
      </c>
      <c r="G50" t="n">
        <v>-6.126113888888889</v>
      </c>
      <c r="H50" t="n">
        <v>106.6789083333333</v>
      </c>
    </row>
    <row r="51">
      <c r="A51" t="inlineStr">
        <is>
          <t>BH10</t>
        </is>
      </c>
      <c r="B51" t="n">
        <v>7</v>
      </c>
      <c r="C51" t="inlineStr">
        <is>
          <t>0,714</t>
        </is>
      </c>
      <c r="D51" t="inlineStr">
        <is>
          <t>likuifaksi</t>
        </is>
      </c>
      <c r="E51" t="inlineStr">
        <is>
          <t xml:space="preserve">  6° 7'34.01"S</t>
        </is>
      </c>
      <c r="F51" t="inlineStr">
        <is>
          <t>106°40'44.07"E</t>
        </is>
      </c>
      <c r="G51" t="n">
        <v>-6.126113888888889</v>
      </c>
      <c r="H51" t="n">
        <v>106.6789083333333</v>
      </c>
    </row>
    <row r="52">
      <c r="A52" t="inlineStr">
        <is>
          <t>BH10</t>
        </is>
      </c>
      <c r="B52" t="n">
        <v>8</v>
      </c>
      <c r="C52" t="inlineStr">
        <is>
          <t>0,714</t>
        </is>
      </c>
      <c r="D52" t="inlineStr">
        <is>
          <t>likuifaksi</t>
        </is>
      </c>
      <c r="E52" t="inlineStr">
        <is>
          <t xml:space="preserve">  6° 7'34.01"S</t>
        </is>
      </c>
      <c r="F52" t="inlineStr">
        <is>
          <t>106°40'44.07"E</t>
        </is>
      </c>
      <c r="G52" t="n">
        <v>-6.126113888888889</v>
      </c>
      <c r="H52" t="n">
        <v>106.6789083333333</v>
      </c>
    </row>
  </sheetData>
  <mergeCells count="1">
    <mergeCell ref="A1:E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:E1"/>
    </sheetView>
  </sheetViews>
  <sheetFormatPr baseColWidth="8" defaultRowHeight="14.4"/>
  <cols>
    <col width="19.21875" customWidth="1" min="1" max="1"/>
    <col width="17.21875" customWidth="1" min="2" max="2"/>
    <col width="13.109375" customWidth="1" min="3" max="3"/>
    <col width="14.33203125" customWidth="1" min="4" max="4"/>
    <col width="27.21875" customWidth="1" min="5" max="5"/>
  </cols>
  <sheetData>
    <row r="1" ht="15" customHeight="1" thickBot="1">
      <c r="A1" s="11" t="inlineStr">
        <is>
          <t>Tabel LPI</t>
        </is>
      </c>
      <c r="B1" s="12" t="n"/>
      <c r="C1" s="12" t="n"/>
      <c r="D1" s="12" t="n"/>
      <c r="E1" s="13" t="n"/>
    </row>
    <row r="2">
      <c r="A2" s="3" t="inlineStr">
        <is>
          <t>Kedalaman (m)</t>
        </is>
      </c>
      <c r="B2" s="3" t="inlineStr">
        <is>
          <t>FS</t>
        </is>
      </c>
      <c r="C2" s="3" t="inlineStr">
        <is>
          <t>F(z)</t>
        </is>
      </c>
      <c r="D2" s="3" t="inlineStr">
        <is>
          <t>W(z)</t>
        </is>
      </c>
      <c r="E2" s="3" t="inlineStr">
        <is>
          <t>Kontribusi LPI</t>
        </is>
      </c>
    </row>
    <row r="3">
      <c r="A3" t="n">
        <v>2</v>
      </c>
      <c r="B3" t="n">
        <v>1.092640067526038</v>
      </c>
      <c r="C3" t="n">
        <v>0</v>
      </c>
      <c r="D3" t="n">
        <v>9</v>
      </c>
      <c r="E3" t="n">
        <v>0</v>
      </c>
    </row>
    <row r="4">
      <c r="A4" t="n">
        <v>4</v>
      </c>
      <c r="B4" t="n">
        <v>0.9304562740733214</v>
      </c>
      <c r="C4" t="n">
        <v>0.06954372592667857</v>
      </c>
      <c r="D4" t="n">
        <v>8</v>
      </c>
      <c r="E4" t="n">
        <v>0.5563498074134285</v>
      </c>
    </row>
    <row r="5">
      <c r="A5" t="n">
        <v>6</v>
      </c>
      <c r="B5" t="n">
        <v>0.7262747210989567</v>
      </c>
      <c r="C5" t="n">
        <v>0.2737252789010433</v>
      </c>
      <c r="D5" t="n">
        <v>7</v>
      </c>
      <c r="E5" t="n">
        <v>1.916076952307303</v>
      </c>
    </row>
    <row r="6">
      <c r="A6" t="n">
        <v>8</v>
      </c>
      <c r="B6" t="n">
        <v>0.4598705403424611</v>
      </c>
      <c r="C6" t="n">
        <v>0.540129459657539</v>
      </c>
      <c r="D6" t="n">
        <v>6</v>
      </c>
      <c r="E6" t="n">
        <v>3.240776757945234</v>
      </c>
    </row>
    <row r="7">
      <c r="A7" t="n">
        <v>10</v>
      </c>
      <c r="B7" t="n">
        <v>0.572266808618502</v>
      </c>
      <c r="C7" t="n">
        <v>0.427733191381498</v>
      </c>
      <c r="D7" t="n">
        <v>5</v>
      </c>
      <c r="E7" t="n">
        <v>2.13866595690749</v>
      </c>
    </row>
    <row r="8">
      <c r="A8" t="n">
        <v>12</v>
      </c>
      <c r="B8" t="n">
        <v>0.4275007906729706</v>
      </c>
      <c r="C8" t="n">
        <v>0.5724992093270294</v>
      </c>
      <c r="D8" t="n">
        <v>4</v>
      </c>
      <c r="E8" t="n">
        <v>2.289996837308117</v>
      </c>
    </row>
    <row r="9">
      <c r="A9" t="n">
        <v>14</v>
      </c>
      <c r="B9" t="n">
        <v>0.5597893915087135</v>
      </c>
      <c r="C9" t="n">
        <v>0.4402106084912865</v>
      </c>
      <c r="D9" t="n">
        <v>3</v>
      </c>
      <c r="E9" t="n">
        <v>1.320631825473859</v>
      </c>
    </row>
    <row r="10">
      <c r="A10" t="n">
        <v>16</v>
      </c>
      <c r="B10" t="n">
        <v>0.5317214822593139</v>
      </c>
      <c r="C10" t="n">
        <v>0.4682785177406861</v>
      </c>
      <c r="D10" t="n">
        <v>2</v>
      </c>
      <c r="E10" t="n">
        <v>0.9365570354813721</v>
      </c>
    </row>
    <row r="11">
      <c r="A11" t="n">
        <v>18</v>
      </c>
      <c r="B11" t="n">
        <v>0.6089594617470103</v>
      </c>
      <c r="C11" t="n">
        <v>0.3910405382529897</v>
      </c>
      <c r="D11" t="n">
        <v>1</v>
      </c>
      <c r="E11" t="n">
        <v>0.3910405382529897</v>
      </c>
    </row>
    <row r="12">
      <c r="A12" t="n">
        <v>20</v>
      </c>
      <c r="B12" t="n">
        <v>0.657130221193665</v>
      </c>
      <c r="C12" t="n">
        <v>0.342869778806335</v>
      </c>
      <c r="D12" t="n">
        <v>0</v>
      </c>
      <c r="E12" t="n">
        <v>0</v>
      </c>
    </row>
    <row r="13">
      <c r="A13" t="n">
        <v>22</v>
      </c>
      <c r="B13" t="n">
        <v>0.9999307816424621</v>
      </c>
      <c r="C13" t="n">
        <v>0</v>
      </c>
      <c r="D13" t="n">
        <v>0</v>
      </c>
      <c r="E13" t="n">
        <v>0</v>
      </c>
    </row>
    <row r="14">
      <c r="A14" t="n">
        <v>24</v>
      </c>
      <c r="B14" t="n">
        <v>1.051657159238936</v>
      </c>
      <c r="C14" t="n">
        <v>0</v>
      </c>
      <c r="D14" t="n">
        <v>0</v>
      </c>
      <c r="E14" t="n">
        <v>0</v>
      </c>
    </row>
    <row r="15">
      <c r="A15" t="n">
        <v>26</v>
      </c>
      <c r="B15" t="n">
        <v>0.8391966104187121</v>
      </c>
      <c r="C15" t="n">
        <v>0</v>
      </c>
      <c r="D15" t="n">
        <v>0</v>
      </c>
      <c r="E15" t="n">
        <v>0</v>
      </c>
    </row>
    <row r="16">
      <c r="A16" t="n">
        <v>28</v>
      </c>
      <c r="B16" t="n">
        <v>0.8361807929348132</v>
      </c>
      <c r="C16" t="n">
        <v>0</v>
      </c>
      <c r="D16" t="n">
        <v>0</v>
      </c>
      <c r="E16" t="n">
        <v>0</v>
      </c>
    </row>
    <row r="17">
      <c r="A17" t="n">
        <v>30</v>
      </c>
      <c r="B17" t="n">
        <v>1.022501428708326</v>
      </c>
      <c r="C17" t="n">
        <v>0</v>
      </c>
      <c r="D17" t="n">
        <v>0</v>
      </c>
      <c r="E1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2026-05-03T14:27:40Z</dcterms:created>
  <dcterms:modified xmlns:dcterms="http://purl.org/dc/terms/" xmlns:xsi="http://www.w3.org/2001/XMLSchema-instance" xsi:type="dcterms:W3CDTF">2026-05-07T14:48:31Z</dcterms:modified>
  <cp:lastModifiedBy>Kayhan Verleniasyah</cp:lastModifiedBy>
  <cp:lastPrinted>2026-05-06T07:05:32Z</cp:lastPrinted>
</cp:coreProperties>
</file>