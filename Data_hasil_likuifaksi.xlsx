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kuliah\komputasi geologi\project\"/>
    </mc:Choice>
  </mc:AlternateContent>
  <xr:revisionPtr revIDLastSave="0" documentId="13_ncr:1_{48B2F97B-3E4B-4306-BEA9-DAEF7705EC6F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Hasil Utama" sheetId="1" r:id="rId1"/>
    <sheet name="Hasil Perhitungan SPT" sheetId="3" r:id="rId2"/>
    <sheet name="Tabel LPI" sheetId="2" r:id="rId3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</calcChain>
</file>

<file path=xl/sharedStrings.xml><?xml version="1.0" encoding="utf-8"?>
<sst xmlns="http://schemas.openxmlformats.org/spreadsheetml/2006/main" count="290" uniqueCount="69">
  <si>
    <t>Kedalaman_m</t>
  </si>
  <si>
    <t>N_SPT</t>
  </si>
  <si>
    <t>Tegangan_Total</t>
  </si>
  <si>
    <t>Tegangan_Efektif</t>
  </si>
  <si>
    <t>rd</t>
  </si>
  <si>
    <t>CSR</t>
  </si>
  <si>
    <t>CN</t>
  </si>
  <si>
    <t>N1_60cs</t>
  </si>
  <si>
    <t>CRR</t>
  </si>
  <si>
    <t>FS</t>
  </si>
  <si>
    <t>Status</t>
  </si>
  <si>
    <t>Aman</t>
  </si>
  <si>
    <t>Rentan</t>
  </si>
  <si>
    <t>Kedalaman (m)</t>
  </si>
  <si>
    <t>F(z)</t>
  </si>
  <si>
    <t>W(z)</t>
  </si>
  <si>
    <t>Kontribusi LPI</t>
  </si>
  <si>
    <t>Data Analisis Potensi Likuifaksi titik BH08</t>
  </si>
  <si>
    <t>Tabel LPI</t>
  </si>
  <si>
    <t>Hasil Perhitungan Data SPT di wilayah timur bandara soekarno Hatta</t>
  </si>
  <si>
    <t>Titik</t>
  </si>
  <si>
    <t>BH01</t>
  </si>
  <si>
    <t>BH02</t>
  </si>
  <si>
    <t>BH03</t>
  </si>
  <si>
    <t>BH04</t>
  </si>
  <si>
    <t>BH05</t>
  </si>
  <si>
    <t>BH06</t>
  </si>
  <si>
    <t>BH07</t>
  </si>
  <si>
    <t>BH08</t>
  </si>
  <si>
    <t>BH09</t>
  </si>
  <si>
    <t>BH10</t>
  </si>
  <si>
    <t>Kedalaman</t>
  </si>
  <si>
    <t>0,672</t>
  </si>
  <si>
    <t>0,525</t>
  </si>
  <si>
    <t>0,665</t>
  </si>
  <si>
    <t>0,73</t>
  </si>
  <si>
    <t>0,502</t>
  </si>
  <si>
    <t>0,851</t>
  </si>
  <si>
    <t>0,453</t>
  </si>
  <si>
    <t>0,468</t>
  </si>
  <si>
    <t>0,514</t>
  </si>
  <si>
    <t>0,714</t>
  </si>
  <si>
    <t>fs terkecil</t>
  </si>
  <si>
    <t xml:space="preserve">keterangan </t>
  </si>
  <si>
    <t>likuifaksi</t>
  </si>
  <si>
    <t>0,666</t>
  </si>
  <si>
    <t>0,667</t>
  </si>
  <si>
    <t>Latitude</t>
  </si>
  <si>
    <t>Longitude</t>
  </si>
  <si>
    <t xml:space="preserve">  6° 7'2.54"S</t>
  </si>
  <si>
    <t>106°40'31.43"E</t>
  </si>
  <si>
    <t xml:space="preserve">  6° 6'59.81"S</t>
  </si>
  <si>
    <t>106°40'36.62"E</t>
  </si>
  <si>
    <t xml:space="preserve">  6° 7'6.95"S</t>
  </si>
  <si>
    <t>106°40'33.08"E</t>
  </si>
  <si>
    <t xml:space="preserve">  6° 7'4.45"S</t>
  </si>
  <si>
    <t>106°40'38.51"E</t>
  </si>
  <si>
    <t xml:space="preserve">  6° 7'10.61"S</t>
  </si>
  <si>
    <t>106°40'34.39"E</t>
  </si>
  <si>
    <t xml:space="preserve">  6° 7'8.16"S</t>
  </si>
  <si>
    <t>106°40'40.04"E</t>
  </si>
  <si>
    <t xml:space="preserve">  6° 6'53.82"S</t>
  </si>
  <si>
    <t>106°40'30.36"E</t>
  </si>
  <si>
    <t xml:space="preserve">  6° 6'42.89"S</t>
  </si>
  <si>
    <t>106°40'25.83"E</t>
  </si>
  <si>
    <t xml:space="preserve">  6° 7'23.51"S</t>
  </si>
  <si>
    <t>106°40'42.62"E</t>
  </si>
  <si>
    <t xml:space="preserve">  6° 7'34.01"S</t>
  </si>
  <si>
    <t>106°40'44.07"E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</si>
</sst>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top"/>
    </xf>
    <xf numFmtId="0" fontId="0" fillId="2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C29" sqref="C29"/>
    </sheetView>
  </sheetViews>
  <sheetFormatPr defaultRowHeight="14.4" x14ac:dyDescent="0.3"/>
  <cols>
    <col min="1" max="1" width="14" customWidth="1"/>
    <col min="3" max="3" width="16.6640625" customWidth="1"/>
    <col min="4" max="4" width="17.21875" customWidth="1"/>
  </cols>
  <sheetData>
    <row r="1" spans="1:11" x14ac:dyDescent="0.3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3">
      <c r="A3" s="2">
        <v>2</v>
      </c>
      <c r="B3" s="2">
        <v>22</v>
      </c>
      <c r="C3" s="2">
        <v>36</v>
      </c>
      <c r="D3" s="2">
        <v>36</v>
      </c>
      <c r="E3" s="2">
        <f>(1 - 0.4113*SQRT(A3) + 0.04052*A3 + 0.001753*A3^(1.5)) /
 (1 - 0.4177*SQRT(A3) + 0.05729*A3 - 0.006205*A3^(1.5) + 0.00121*A3^2)</f>
        <v>0.98665680252916077</v>
      </c>
      <c r="F3" s="2">
        <v>0.2308776917918236</v>
      </c>
      <c r="G3" s="2">
        <v>1.4038672767687499</v>
      </c>
      <c r="H3" s="2">
        <v>23.16381006668437</v>
      </c>
      <c r="I3" s="2">
        <v>0.25226621674967398</v>
      </c>
      <c r="J3" s="2">
        <v>1.0926400675260379</v>
      </c>
      <c r="K3" s="2" t="s">
        <v>11</v>
      </c>
    </row>
    <row r="4" spans="1:11" x14ac:dyDescent="0.3">
      <c r="A4" s="2">
        <v>4</v>
      </c>
      <c r="B4" s="2">
        <v>24</v>
      </c>
      <c r="C4" s="2">
        <v>72</v>
      </c>
      <c r="D4" s="2">
        <v>72</v>
      </c>
      <c r="E4" s="2">
        <f t="shared" ref="E4:E17" si="0">(1 - 0.4113*SQRT(A4) + 0.04052*A4 + 0.001753*A4^(1.5)) /
 (1 - 0.4177*SQRT(A4) + 0.05729*A4 - 0.006205*A4^(1.5) + 0.00121*A4^2)</f>
        <v>0.97255419830527112</v>
      </c>
      <c r="F4" s="2">
        <v>0.22757768240343351</v>
      </c>
      <c r="G4" s="2">
        <v>1.1374214990362681</v>
      </c>
      <c r="H4" s="2">
        <v>20.473586982652819</v>
      </c>
      <c r="I4" s="2">
        <v>0.21175108243134039</v>
      </c>
      <c r="J4" s="2">
        <v>0.93045627407332143</v>
      </c>
      <c r="K4" s="2" t="s">
        <v>12</v>
      </c>
    </row>
    <row r="5" spans="1:11" x14ac:dyDescent="0.3">
      <c r="A5" s="2">
        <v>6</v>
      </c>
      <c r="B5" s="2">
        <v>22</v>
      </c>
      <c r="C5" s="2">
        <v>108</v>
      </c>
      <c r="D5" s="2">
        <v>108</v>
      </c>
      <c r="E5" s="2">
        <f t="shared" si="0"/>
        <v>0.95770333095724347</v>
      </c>
      <c r="F5" s="2">
        <v>0.22410257944399489</v>
      </c>
      <c r="G5" s="2">
        <v>0.95598176526680367</v>
      </c>
      <c r="H5" s="2">
        <v>15.77369912690226</v>
      </c>
      <c r="I5" s="2">
        <v>0.16276003838324421</v>
      </c>
      <c r="J5" s="2">
        <v>0.72627472109895674</v>
      </c>
      <c r="K5" s="2" t="s">
        <v>12</v>
      </c>
    </row>
    <row r="6" spans="1:11" x14ac:dyDescent="0.3">
      <c r="A6" s="2">
        <v>8</v>
      </c>
      <c r="B6" s="2">
        <v>12</v>
      </c>
      <c r="C6" s="2">
        <v>144</v>
      </c>
      <c r="D6" s="2">
        <v>144</v>
      </c>
      <c r="E6" s="2">
        <f t="shared" si="0"/>
        <v>0.93722465444019198</v>
      </c>
      <c r="F6" s="2">
        <v>0.2193105691390051</v>
      </c>
      <c r="G6" s="2">
        <v>0.82446445877242069</v>
      </c>
      <c r="H6" s="2">
        <v>7.4201801289517864</v>
      </c>
      <c r="I6" s="2">
        <v>0.10085446993276689</v>
      </c>
      <c r="J6" s="2">
        <v>0.45987054034246111</v>
      </c>
      <c r="K6" s="2" t="s">
        <v>12</v>
      </c>
    </row>
    <row r="7" spans="1:11" x14ac:dyDescent="0.3">
      <c r="A7" s="2">
        <v>10</v>
      </c>
      <c r="B7" s="2">
        <v>22</v>
      </c>
      <c r="C7" s="2">
        <v>190</v>
      </c>
      <c r="D7" s="2">
        <v>170.38</v>
      </c>
      <c r="E7" s="2">
        <f t="shared" si="0"/>
        <v>0.90493425245485903</v>
      </c>
      <c r="F7" s="2">
        <v>0.23613908242835441</v>
      </c>
      <c r="G7" s="2">
        <v>0.74896132461660669</v>
      </c>
      <c r="H7" s="2">
        <v>12.35786185617401</v>
      </c>
      <c r="I7" s="2">
        <v>0.1351345590913757</v>
      </c>
      <c r="J7" s="2">
        <v>0.57226680861850199</v>
      </c>
      <c r="K7" s="2" t="s">
        <v>12</v>
      </c>
    </row>
    <row r="8" spans="1:11" x14ac:dyDescent="0.3">
      <c r="A8" s="2">
        <v>12</v>
      </c>
      <c r="B8" s="2">
        <v>15</v>
      </c>
      <c r="C8" s="2">
        <v>236</v>
      </c>
      <c r="D8" s="2">
        <v>196.76</v>
      </c>
      <c r="E8" s="2">
        <f t="shared" si="0"/>
        <v>0.85651836518762914</v>
      </c>
      <c r="F8" s="2">
        <v>0.24039627057898749</v>
      </c>
      <c r="G8" s="2">
        <v>0.68612692056206737</v>
      </c>
      <c r="H8" s="2">
        <v>7.7189278563232584</v>
      </c>
      <c r="I8" s="2">
        <v>0.10276959574735051</v>
      </c>
      <c r="J8" s="2">
        <v>0.42750079067297059</v>
      </c>
      <c r="K8" s="2" t="s">
        <v>12</v>
      </c>
    </row>
    <row r="9" spans="1:11" x14ac:dyDescent="0.3">
      <c r="A9" s="2">
        <v>14</v>
      </c>
      <c r="B9" s="2">
        <v>25</v>
      </c>
      <c r="C9" s="2">
        <v>282</v>
      </c>
      <c r="D9" s="2">
        <v>223.14</v>
      </c>
      <c r="E9" s="2">
        <f t="shared" si="0"/>
        <v>0.79425300830812906</v>
      </c>
      <c r="F9" s="2">
        <v>0.23488019858491041</v>
      </c>
      <c r="G9" s="2">
        <v>0.63301950124875606</v>
      </c>
      <c r="H9" s="2">
        <v>11.86911564841418</v>
      </c>
      <c r="I9" s="2">
        <v>0.1314834434432928</v>
      </c>
      <c r="J9" s="2">
        <v>0.55978939150871354</v>
      </c>
      <c r="K9" s="2" t="s">
        <v>12</v>
      </c>
    </row>
    <row r="10" spans="1:11" x14ac:dyDescent="0.3">
      <c r="A10" s="2">
        <v>16</v>
      </c>
      <c r="B10" s="2">
        <v>23</v>
      </c>
      <c r="C10" s="2">
        <v>328</v>
      </c>
      <c r="D10" s="2">
        <v>249.52</v>
      </c>
      <c r="E10" s="2">
        <f t="shared" si="0"/>
        <v>0.72761231701160978</v>
      </c>
      <c r="F10" s="2">
        <v>0.2238125222638471</v>
      </c>
      <c r="G10" s="2">
        <v>0.58754267438491159</v>
      </c>
      <c r="H10" s="2">
        <v>10.13511113313972</v>
      </c>
      <c r="I10" s="2">
        <v>0.1190059260863285</v>
      </c>
      <c r="J10" s="2">
        <v>0.53172148225931393</v>
      </c>
      <c r="K10" s="2" t="s">
        <v>12</v>
      </c>
    </row>
    <row r="11" spans="1:11" x14ac:dyDescent="0.3">
      <c r="A11" s="2">
        <v>18</v>
      </c>
      <c r="B11" s="2">
        <v>28</v>
      </c>
      <c r="C11" s="2">
        <v>374</v>
      </c>
      <c r="D11" s="2">
        <v>275.89999999999998</v>
      </c>
      <c r="E11" s="2">
        <f t="shared" si="0"/>
        <v>0.66705334724534338</v>
      </c>
      <c r="F11" s="2">
        <v>0.21159057896891501</v>
      </c>
      <c r="G11" s="2">
        <v>0.54816209799704863</v>
      </c>
      <c r="H11" s="2">
        <v>11.511404057938019</v>
      </c>
      <c r="I11" s="2">
        <v>0.12885008507964879</v>
      </c>
      <c r="J11" s="2">
        <v>0.60895946174701032</v>
      </c>
      <c r="K11" s="2" t="s">
        <v>12</v>
      </c>
    </row>
    <row r="12" spans="1:11" x14ac:dyDescent="0.3">
      <c r="A12" s="2">
        <v>20</v>
      </c>
      <c r="B12" s="2">
        <v>31</v>
      </c>
      <c r="C12" s="2">
        <v>420</v>
      </c>
      <c r="D12" s="2">
        <v>302.27999999999997</v>
      </c>
      <c r="E12" s="2">
        <f t="shared" si="0"/>
        <v>0.61801539303649478</v>
      </c>
      <c r="F12" s="2">
        <v>0.20093473874429901</v>
      </c>
      <c r="G12" s="2">
        <v>0.51372895271731167</v>
      </c>
      <c r="H12" s="2">
        <v>11.944198150677501</v>
      </c>
      <c r="I12" s="2">
        <v>0.1320402893165325</v>
      </c>
      <c r="J12" s="2">
        <v>0.65713022119366504</v>
      </c>
      <c r="K12" s="2" t="s">
        <v>12</v>
      </c>
    </row>
    <row r="13" spans="1:11" x14ac:dyDescent="0.3">
      <c r="A13" s="2">
        <v>22</v>
      </c>
      <c r="B13" s="2">
        <v>52</v>
      </c>
      <c r="C13" s="2">
        <v>466</v>
      </c>
      <c r="D13" s="2">
        <v>328.66</v>
      </c>
      <c r="E13" s="2">
        <f t="shared" si="0"/>
        <v>0.58067596981935676</v>
      </c>
      <c r="F13" s="2">
        <v>0.19265876727615719</v>
      </c>
      <c r="G13" s="2">
        <v>0.48336601400907658</v>
      </c>
      <c r="H13" s="2">
        <v>18.851274546353991</v>
      </c>
      <c r="I13" s="2">
        <v>0.19264543175272111</v>
      </c>
      <c r="J13" s="2">
        <v>0.99993078164246207</v>
      </c>
      <c r="K13" s="2" t="s">
        <v>12</v>
      </c>
    </row>
    <row r="14" spans="1:11" x14ac:dyDescent="0.3">
      <c r="A14" s="2">
        <v>24</v>
      </c>
      <c r="B14" s="2">
        <v>56</v>
      </c>
      <c r="C14" s="2">
        <v>512</v>
      </c>
      <c r="D14" s="2">
        <v>355.04</v>
      </c>
      <c r="E14" s="2">
        <f t="shared" si="0"/>
        <v>0.5527240008793427</v>
      </c>
      <c r="F14" s="2">
        <v>0.18651632801192039</v>
      </c>
      <c r="G14" s="2">
        <v>0.4563918706919457</v>
      </c>
      <c r="H14" s="2">
        <v>19.16845856906172</v>
      </c>
      <c r="I14" s="2">
        <v>0.19615123166869369</v>
      </c>
      <c r="J14" s="2">
        <v>1.0516571592389361</v>
      </c>
      <c r="K14" s="2" t="s">
        <v>11</v>
      </c>
    </row>
    <row r="15" spans="1:11" x14ac:dyDescent="0.3">
      <c r="A15" s="2">
        <v>26</v>
      </c>
      <c r="B15" s="2">
        <v>45</v>
      </c>
      <c r="C15" s="2">
        <v>558</v>
      </c>
      <c r="D15" s="2">
        <v>381.42</v>
      </c>
      <c r="E15" s="2">
        <f t="shared" si="0"/>
        <v>0.53151705816465511</v>
      </c>
      <c r="F15" s="2">
        <v>0.18195491929808411</v>
      </c>
      <c r="G15" s="2">
        <v>0.43226917614774779</v>
      </c>
      <c r="H15" s="2">
        <v>14.589084694986489</v>
      </c>
      <c r="I15" s="2">
        <v>0.15269595152396251</v>
      </c>
      <c r="J15" s="2">
        <v>0.83919661041871207</v>
      </c>
      <c r="K15" s="2" t="s">
        <v>12</v>
      </c>
    </row>
    <row r="16" spans="1:11" x14ac:dyDescent="0.3">
      <c r="A16" s="2">
        <v>28</v>
      </c>
      <c r="B16" s="2">
        <v>46</v>
      </c>
      <c r="C16" s="2">
        <v>604</v>
      </c>
      <c r="D16" s="2">
        <v>407.8</v>
      </c>
      <c r="E16" s="2">
        <f t="shared" si="0"/>
        <v>0.5149265900323774</v>
      </c>
      <c r="F16" s="2">
        <v>0.17846411115452729</v>
      </c>
      <c r="G16" s="2">
        <v>0.41056848682117209</v>
      </c>
      <c r="H16" s="2">
        <v>14.16461279533044</v>
      </c>
      <c r="I16" s="2">
        <v>0.1492282619755993</v>
      </c>
      <c r="J16" s="2">
        <v>0.83618079293481318</v>
      </c>
      <c r="K16" s="2" t="s">
        <v>12</v>
      </c>
    </row>
    <row r="17" spans="1:11" x14ac:dyDescent="0.3">
      <c r="A17" s="2">
        <v>30</v>
      </c>
      <c r="B17" s="2">
        <v>60</v>
      </c>
      <c r="C17" s="2">
        <v>650</v>
      </c>
      <c r="D17" s="2">
        <v>434.17999999999989</v>
      </c>
      <c r="E17" s="2">
        <f t="shared" si="0"/>
        <v>0.50145068678457694</v>
      </c>
      <c r="F17" s="2">
        <v>0.1756659667878166</v>
      </c>
      <c r="G17" s="2">
        <v>0.39094247228278522</v>
      </c>
      <c r="H17" s="2">
        <v>17.592411252725331</v>
      </c>
      <c r="I17" s="2">
        <v>0.1796187020159718</v>
      </c>
      <c r="J17" s="2">
        <v>1.0225014287083261</v>
      </c>
      <c r="K17" s="2" t="s">
        <v>11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57D3-8582-4219-97A6-B26D66C47882}">
  <dimension ref="A1:F52"/>
  <sheetViews>
    <sheetView tabSelected="1" zoomScale="101" workbookViewId="0">
      <selection activeCell="J52" sqref="J52"/>
    </sheetView>
  </sheetViews>
  <sheetFormatPr defaultRowHeight="14.4" x14ac:dyDescent="0.3"/>
  <cols>
    <col min="2" max="2" width="14.5546875" customWidth="1"/>
    <col min="3" max="3" width="10.21875" customWidth="1"/>
    <col min="4" max="4" width="38.33203125" customWidth="1"/>
    <col min="5" max="5" width="12.33203125" customWidth="1"/>
    <col min="6" max="6" width="15.33203125" customWidth="1"/>
  </cols>
  <sheetData>
    <row r="1" spans="1:6" x14ac:dyDescent="0.3">
      <c r="A1" s="9" t="s">
        <v>19</v>
      </c>
      <c r="B1" s="9"/>
      <c r="C1" s="9"/>
      <c r="D1" s="9"/>
      <c r="E1" s="9"/>
    </row>
    <row r="2" spans="1:6" x14ac:dyDescent="0.3">
      <c r="A2" t="s">
        <v>20</v>
      </c>
      <c r="B2" t="s">
        <v>31</v>
      </c>
      <c r="C2" t="s">
        <v>42</v>
      </c>
      <c r="D2" t="s">
        <v>43</v>
      </c>
      <c r="E2" t="s">
        <v>47</v>
      </c>
      <c r="F2" t="s">
        <v>48</v>
      </c>
    </row>
    <row r="3" spans="1:6" x14ac:dyDescent="0.3">
      <c r="A3" t="s">
        <v>21</v>
      </c>
      <c r="B3">
        <v>6</v>
      </c>
      <c r="C3" s="8" t="s">
        <v>32</v>
      </c>
      <c r="D3" t="s">
        <v>44</v>
      </c>
      <c r="E3" t="s">
        <v>49</v>
      </c>
      <c r="F3" t="s">
        <v>50</v>
      </c>
    </row>
    <row r="4" spans="1:6" x14ac:dyDescent="0.3">
      <c r="A4" t="s">
        <v>21</v>
      </c>
      <c r="B4">
        <v>7</v>
      </c>
      <c r="C4" s="8" t="s">
        <v>32</v>
      </c>
      <c r="D4" t="s">
        <v>44</v>
      </c>
      <c r="E4" t="s">
        <v>49</v>
      </c>
      <c r="F4" t="s">
        <v>50</v>
      </c>
    </row>
    <row r="5" spans="1:6" x14ac:dyDescent="0.3">
      <c r="A5" t="s">
        <v>21</v>
      </c>
      <c r="B5">
        <v>8</v>
      </c>
      <c r="C5" s="8" t="s">
        <v>32</v>
      </c>
      <c r="D5" t="s">
        <v>44</v>
      </c>
      <c r="E5" t="s">
        <v>49</v>
      </c>
      <c r="F5" t="s">
        <v>50</v>
      </c>
    </row>
    <row r="6" spans="1:6" x14ac:dyDescent="0.3">
      <c r="A6" t="s">
        <v>21</v>
      </c>
      <c r="B6">
        <v>9</v>
      </c>
      <c r="C6" s="8" t="s">
        <v>32</v>
      </c>
      <c r="D6" t="s">
        <v>44</v>
      </c>
      <c r="E6" t="s">
        <v>49</v>
      </c>
      <c r="F6" t="s">
        <v>50</v>
      </c>
    </row>
    <row r="7" spans="1:6" x14ac:dyDescent="0.3">
      <c r="A7" t="s">
        <v>21</v>
      </c>
      <c r="B7">
        <v>10</v>
      </c>
      <c r="C7" s="8" t="s">
        <v>32</v>
      </c>
      <c r="D7" t="s">
        <v>44</v>
      </c>
      <c r="E7" t="s">
        <v>49</v>
      </c>
      <c r="F7" t="s">
        <v>50</v>
      </c>
    </row>
    <row r="8" spans="1:6" x14ac:dyDescent="0.3">
      <c r="A8" t="s">
        <v>22</v>
      </c>
      <c r="B8">
        <v>6</v>
      </c>
      <c r="C8" s="8" t="s">
        <v>33</v>
      </c>
      <c r="D8" t="s">
        <v>44</v>
      </c>
      <c r="E8" t="s">
        <v>51</v>
      </c>
      <c r="F8" t="s">
        <v>52</v>
      </c>
    </row>
    <row r="9" spans="1:6" x14ac:dyDescent="0.3">
      <c r="A9" t="s">
        <v>22</v>
      </c>
      <c r="B9">
        <v>7</v>
      </c>
      <c r="C9" s="8" t="s">
        <v>33</v>
      </c>
      <c r="D9" t="s">
        <v>44</v>
      </c>
      <c r="E9" t="s">
        <v>51</v>
      </c>
      <c r="F9" t="s">
        <v>52</v>
      </c>
    </row>
    <row r="10" spans="1:6" x14ac:dyDescent="0.3">
      <c r="A10" t="s">
        <v>22</v>
      </c>
      <c r="B10">
        <v>8</v>
      </c>
      <c r="C10" s="8" t="s">
        <v>33</v>
      </c>
      <c r="D10" t="s">
        <v>44</v>
      </c>
      <c r="E10" t="s">
        <v>51</v>
      </c>
      <c r="F10" t="s">
        <v>52</v>
      </c>
    </row>
    <row r="11" spans="1:6" x14ac:dyDescent="0.3">
      <c r="A11" t="s">
        <v>23</v>
      </c>
      <c r="B11">
        <v>6</v>
      </c>
      <c r="C11" t="s">
        <v>34</v>
      </c>
      <c r="D11" t="s">
        <v>44</v>
      </c>
      <c r="E11" t="s">
        <v>53</v>
      </c>
      <c r="F11" t="s">
        <v>54</v>
      </c>
    </row>
    <row r="12" spans="1:6" x14ac:dyDescent="0.3">
      <c r="A12" t="s">
        <v>23</v>
      </c>
      <c r="B12">
        <v>7</v>
      </c>
      <c r="C12" t="s">
        <v>45</v>
      </c>
      <c r="D12" t="s">
        <v>44</v>
      </c>
      <c r="E12" t="s">
        <v>53</v>
      </c>
      <c r="F12" t="s">
        <v>54</v>
      </c>
    </row>
    <row r="13" spans="1:6" x14ac:dyDescent="0.3">
      <c r="A13" t="s">
        <v>23</v>
      </c>
      <c r="B13">
        <v>8</v>
      </c>
      <c r="C13" t="s">
        <v>46</v>
      </c>
      <c r="D13" t="s">
        <v>44</v>
      </c>
      <c r="E13" t="s">
        <v>53</v>
      </c>
      <c r="F13" t="s">
        <v>54</v>
      </c>
    </row>
    <row r="14" spans="1:6" x14ac:dyDescent="0.3">
      <c r="A14" t="s">
        <v>24</v>
      </c>
      <c r="B14">
        <v>6</v>
      </c>
      <c r="C14" t="s">
        <v>35</v>
      </c>
      <c r="D14" t="s">
        <v>44</v>
      </c>
      <c r="E14" t="s">
        <v>55</v>
      </c>
      <c r="F14" t="s">
        <v>56</v>
      </c>
    </row>
    <row r="15" spans="1:6" x14ac:dyDescent="0.3">
      <c r="A15" t="s">
        <v>25</v>
      </c>
      <c r="B15">
        <v>2</v>
      </c>
      <c r="C15" t="s">
        <v>36</v>
      </c>
      <c r="D15" t="s">
        <v>44</v>
      </c>
      <c r="E15" t="s">
        <v>57</v>
      </c>
      <c r="F15" t="s">
        <v>58</v>
      </c>
    </row>
    <row r="16" spans="1:6" x14ac:dyDescent="0.3">
      <c r="A16" t="s">
        <v>25</v>
      </c>
      <c r="B16">
        <v>3</v>
      </c>
      <c r="C16" t="s">
        <v>36</v>
      </c>
      <c r="D16" t="s">
        <v>44</v>
      </c>
      <c r="E16" t="s">
        <v>57</v>
      </c>
      <c r="F16" t="s">
        <v>58</v>
      </c>
    </row>
    <row r="17" spans="1:6" x14ac:dyDescent="0.3">
      <c r="A17" t="s">
        <v>25</v>
      </c>
      <c r="B17">
        <v>4</v>
      </c>
      <c r="C17" t="s">
        <v>36</v>
      </c>
      <c r="D17" t="s">
        <v>44</v>
      </c>
      <c r="E17" t="s">
        <v>57</v>
      </c>
      <c r="F17" t="s">
        <v>58</v>
      </c>
    </row>
    <row r="18" spans="1:6" x14ac:dyDescent="0.3">
      <c r="A18" t="s">
        <v>25</v>
      </c>
      <c r="B18">
        <v>5</v>
      </c>
      <c r="C18" t="s">
        <v>36</v>
      </c>
      <c r="D18" t="s">
        <v>44</v>
      </c>
      <c r="E18" t="s">
        <v>57</v>
      </c>
      <c r="F18" t="s">
        <v>58</v>
      </c>
    </row>
    <row r="19" spans="1:6" x14ac:dyDescent="0.3">
      <c r="A19" t="s">
        <v>25</v>
      </c>
      <c r="B19">
        <v>6</v>
      </c>
      <c r="C19" t="s">
        <v>36</v>
      </c>
      <c r="D19" t="s">
        <v>44</v>
      </c>
      <c r="E19" t="s">
        <v>57</v>
      </c>
      <c r="F19" t="s">
        <v>58</v>
      </c>
    </row>
    <row r="20" spans="1:6" x14ac:dyDescent="0.3">
      <c r="A20" t="s">
        <v>25</v>
      </c>
      <c r="B20">
        <v>7</v>
      </c>
      <c r="C20" t="s">
        <v>36</v>
      </c>
      <c r="D20" t="s">
        <v>44</v>
      </c>
      <c r="E20" t="s">
        <v>57</v>
      </c>
      <c r="F20" t="s">
        <v>58</v>
      </c>
    </row>
    <row r="21" spans="1:6" x14ac:dyDescent="0.3">
      <c r="A21" t="s">
        <v>25</v>
      </c>
      <c r="B21">
        <v>8</v>
      </c>
      <c r="C21" t="s">
        <v>36</v>
      </c>
      <c r="D21" t="s">
        <v>44</v>
      </c>
      <c r="E21" t="s">
        <v>57</v>
      </c>
      <c r="F21" t="s">
        <v>58</v>
      </c>
    </row>
    <row r="22" spans="1:6" x14ac:dyDescent="0.3">
      <c r="A22" t="s">
        <v>26</v>
      </c>
      <c r="B22">
        <v>6</v>
      </c>
      <c r="C22" t="s">
        <v>37</v>
      </c>
      <c r="D22" t="s">
        <v>44</v>
      </c>
      <c r="E22" t="s">
        <v>59</v>
      </c>
      <c r="F22" t="s">
        <v>60</v>
      </c>
    </row>
    <row r="23" spans="1:6" x14ac:dyDescent="0.3">
      <c r="A23" t="s">
        <v>26</v>
      </c>
      <c r="B23">
        <v>7</v>
      </c>
      <c r="C23" t="s">
        <v>37</v>
      </c>
      <c r="D23" t="s">
        <v>44</v>
      </c>
      <c r="E23" t="s">
        <v>59</v>
      </c>
      <c r="F23" t="s">
        <v>60</v>
      </c>
    </row>
    <row r="24" spans="1:6" x14ac:dyDescent="0.3">
      <c r="A24" t="s">
        <v>26</v>
      </c>
      <c r="B24">
        <v>8</v>
      </c>
      <c r="C24" t="s">
        <v>37</v>
      </c>
      <c r="D24" t="s">
        <v>44</v>
      </c>
      <c r="E24" t="s">
        <v>59</v>
      </c>
      <c r="F24" t="s">
        <v>60</v>
      </c>
    </row>
    <row r="25" spans="1:6" x14ac:dyDescent="0.3">
      <c r="A25" t="s">
        <v>26</v>
      </c>
      <c r="B25">
        <v>9</v>
      </c>
      <c r="C25" t="s">
        <v>37</v>
      </c>
      <c r="D25" t="s">
        <v>44</v>
      </c>
      <c r="E25" t="s">
        <v>59</v>
      </c>
      <c r="F25" t="s">
        <v>60</v>
      </c>
    </row>
    <row r="26" spans="1:6" x14ac:dyDescent="0.3">
      <c r="A26" t="s">
        <v>26</v>
      </c>
      <c r="B26">
        <v>10</v>
      </c>
      <c r="C26" t="s">
        <v>37</v>
      </c>
      <c r="D26" t="s">
        <v>44</v>
      </c>
      <c r="E26" t="s">
        <v>59</v>
      </c>
      <c r="F26" t="s">
        <v>60</v>
      </c>
    </row>
    <row r="27" spans="1:6" x14ac:dyDescent="0.3">
      <c r="A27" t="s">
        <v>26</v>
      </c>
      <c r="B27">
        <v>11</v>
      </c>
      <c r="C27" t="s">
        <v>37</v>
      </c>
      <c r="D27" t="s">
        <v>44</v>
      </c>
      <c r="E27" t="s">
        <v>59</v>
      </c>
      <c r="F27" t="s">
        <v>60</v>
      </c>
    </row>
    <row r="28" spans="1:6" x14ac:dyDescent="0.3">
      <c r="A28" t="s">
        <v>26</v>
      </c>
      <c r="B28">
        <v>12</v>
      </c>
      <c r="C28" t="s">
        <v>37</v>
      </c>
      <c r="D28" t="s">
        <v>44</v>
      </c>
      <c r="E28" t="s">
        <v>59</v>
      </c>
      <c r="F28" t="s">
        <v>60</v>
      </c>
    </row>
    <row r="29" spans="1:6" x14ac:dyDescent="0.3">
      <c r="A29" t="s">
        <v>27</v>
      </c>
      <c r="B29">
        <v>8</v>
      </c>
      <c r="C29" t="s">
        <v>38</v>
      </c>
      <c r="D29" t="s">
        <v>44</v>
      </c>
      <c r="E29" t="s">
        <v>61</v>
      </c>
      <c r="F29" t="s">
        <v>62</v>
      </c>
    </row>
    <row r="30" spans="1:6" x14ac:dyDescent="0.3">
      <c r="A30" t="s">
        <v>28</v>
      </c>
      <c r="B30">
        <v>6</v>
      </c>
      <c r="C30" t="s">
        <v>39</v>
      </c>
      <c r="D30" t="s">
        <v>44</v>
      </c>
      <c r="E30" t="s">
        <v>63</v>
      </c>
      <c r="F30" t="s">
        <v>64</v>
      </c>
    </row>
    <row r="31" spans="1:6" x14ac:dyDescent="0.3">
      <c r="A31" t="s">
        <v>28</v>
      </c>
      <c r="B31">
        <v>7</v>
      </c>
      <c r="C31" t="s">
        <v>39</v>
      </c>
      <c r="D31" t="s">
        <v>44</v>
      </c>
      <c r="E31" t="s">
        <v>63</v>
      </c>
      <c r="F31" t="s">
        <v>64</v>
      </c>
    </row>
    <row r="32" spans="1:6" x14ac:dyDescent="0.3">
      <c r="A32" t="s">
        <v>28</v>
      </c>
      <c r="B32">
        <v>8</v>
      </c>
      <c r="C32" t="s">
        <v>39</v>
      </c>
      <c r="D32" t="s">
        <v>44</v>
      </c>
      <c r="E32" t="s">
        <v>63</v>
      </c>
      <c r="F32" t="s">
        <v>64</v>
      </c>
    </row>
    <row r="33" spans="1:6" x14ac:dyDescent="0.3">
      <c r="A33" t="s">
        <v>28</v>
      </c>
      <c r="B33">
        <v>9</v>
      </c>
      <c r="C33" t="s">
        <v>39</v>
      </c>
      <c r="D33" t="s">
        <v>44</v>
      </c>
      <c r="E33" t="s">
        <v>63</v>
      </c>
      <c r="F33" t="s">
        <v>64</v>
      </c>
    </row>
    <row r="34" spans="1:6" x14ac:dyDescent="0.3">
      <c r="A34" t="s">
        <v>28</v>
      </c>
      <c r="B34">
        <v>10</v>
      </c>
      <c r="C34" t="s">
        <v>39</v>
      </c>
      <c r="D34" t="s">
        <v>44</v>
      </c>
      <c r="E34" t="s">
        <v>63</v>
      </c>
      <c r="F34" t="s">
        <v>64</v>
      </c>
    </row>
    <row r="35" spans="1:6" x14ac:dyDescent="0.3">
      <c r="A35" t="s">
        <v>28</v>
      </c>
      <c r="B35">
        <v>11</v>
      </c>
      <c r="C35" t="s">
        <v>39</v>
      </c>
      <c r="D35" t="s">
        <v>44</v>
      </c>
      <c r="E35" t="s">
        <v>63</v>
      </c>
      <c r="F35" t="s">
        <v>64</v>
      </c>
    </row>
    <row r="36" spans="1:6" x14ac:dyDescent="0.3">
      <c r="A36" t="s">
        <v>28</v>
      </c>
      <c r="B36">
        <v>12</v>
      </c>
      <c r="C36" t="s">
        <v>39</v>
      </c>
      <c r="D36" t="s">
        <v>44</v>
      </c>
      <c r="E36" t="s">
        <v>63</v>
      </c>
      <c r="F36" t="s">
        <v>64</v>
      </c>
    </row>
    <row r="37" spans="1:6" x14ac:dyDescent="0.3">
      <c r="A37" t="s">
        <v>28</v>
      </c>
      <c r="B37">
        <v>13</v>
      </c>
      <c r="C37" t="s">
        <v>39</v>
      </c>
      <c r="D37" t="s">
        <v>44</v>
      </c>
      <c r="E37" t="s">
        <v>63</v>
      </c>
      <c r="F37" t="s">
        <v>64</v>
      </c>
    </row>
    <row r="38" spans="1:6" x14ac:dyDescent="0.3">
      <c r="A38" t="s">
        <v>28</v>
      </c>
      <c r="B38">
        <v>14</v>
      </c>
      <c r="C38" t="s">
        <v>39</v>
      </c>
      <c r="D38" t="s">
        <v>44</v>
      </c>
      <c r="E38" t="s">
        <v>63</v>
      </c>
      <c r="F38" t="s">
        <v>64</v>
      </c>
    </row>
    <row r="39" spans="1:6" x14ac:dyDescent="0.3">
      <c r="A39" t="s">
        <v>28</v>
      </c>
      <c r="B39">
        <v>15</v>
      </c>
      <c r="C39" t="s">
        <v>39</v>
      </c>
      <c r="D39" t="s">
        <v>44</v>
      </c>
      <c r="E39" t="s">
        <v>63</v>
      </c>
      <c r="F39" t="s">
        <v>64</v>
      </c>
    </row>
    <row r="40" spans="1:6" x14ac:dyDescent="0.3">
      <c r="A40" t="s">
        <v>28</v>
      </c>
      <c r="B40">
        <v>16</v>
      </c>
      <c r="C40" t="s">
        <v>39</v>
      </c>
      <c r="D40" t="s">
        <v>44</v>
      </c>
      <c r="E40" t="s">
        <v>63</v>
      </c>
      <c r="F40" t="s">
        <v>64</v>
      </c>
    </row>
    <row r="41" spans="1:6" x14ac:dyDescent="0.3">
      <c r="A41" t="s">
        <v>28</v>
      </c>
      <c r="B41">
        <v>17</v>
      </c>
      <c r="C41" t="s">
        <v>39</v>
      </c>
      <c r="D41" t="s">
        <v>44</v>
      </c>
      <c r="E41" t="s">
        <v>63</v>
      </c>
      <c r="F41" t="s">
        <v>64</v>
      </c>
    </row>
    <row r="42" spans="1:6" x14ac:dyDescent="0.3">
      <c r="A42" t="s">
        <v>28</v>
      </c>
      <c r="B42">
        <v>18</v>
      </c>
      <c r="C42" t="s">
        <v>39</v>
      </c>
      <c r="D42" t="s">
        <v>44</v>
      </c>
      <c r="E42" t="s">
        <v>63</v>
      </c>
      <c r="F42" t="s">
        <v>64</v>
      </c>
    </row>
    <row r="43" spans="1:6" x14ac:dyDescent="0.3">
      <c r="A43" t="s">
        <v>28</v>
      </c>
      <c r="B43">
        <v>19</v>
      </c>
      <c r="C43" t="s">
        <v>39</v>
      </c>
      <c r="D43" t="s">
        <v>44</v>
      </c>
      <c r="E43" t="s">
        <v>63</v>
      </c>
      <c r="F43" t="s">
        <v>64</v>
      </c>
    </row>
    <row r="44" spans="1:6" x14ac:dyDescent="0.3">
      <c r="A44" t="s">
        <v>28</v>
      </c>
      <c r="B44">
        <v>20</v>
      </c>
      <c r="C44" t="s">
        <v>39</v>
      </c>
      <c r="D44" t="s">
        <v>44</v>
      </c>
      <c r="E44" t="s">
        <v>63</v>
      </c>
      <c r="F44" t="s">
        <v>64</v>
      </c>
    </row>
    <row r="45" spans="1:6" x14ac:dyDescent="0.3">
      <c r="A45" t="s">
        <v>29</v>
      </c>
      <c r="B45">
        <v>4</v>
      </c>
      <c r="C45" t="s">
        <v>40</v>
      </c>
      <c r="D45" t="s">
        <v>44</v>
      </c>
      <c r="E45" t="s">
        <v>65</v>
      </c>
      <c r="F45" t="s">
        <v>66</v>
      </c>
    </row>
    <row r="46" spans="1:6" x14ac:dyDescent="0.3">
      <c r="A46" t="s">
        <v>29</v>
      </c>
      <c r="B46">
        <v>5</v>
      </c>
      <c r="C46" t="s">
        <v>40</v>
      </c>
      <c r="D46" t="s">
        <v>44</v>
      </c>
      <c r="E46" t="s">
        <v>65</v>
      </c>
      <c r="F46" t="s">
        <v>66</v>
      </c>
    </row>
    <row r="47" spans="1:6" x14ac:dyDescent="0.3">
      <c r="A47" t="s">
        <v>29</v>
      </c>
      <c r="B47">
        <v>6</v>
      </c>
      <c r="C47" t="s">
        <v>40</v>
      </c>
      <c r="D47" t="s">
        <v>44</v>
      </c>
      <c r="E47" t="s">
        <v>65</v>
      </c>
      <c r="F47" t="s">
        <v>66</v>
      </c>
    </row>
    <row r="48" spans="1:6" x14ac:dyDescent="0.3">
      <c r="A48" t="s">
        <v>29</v>
      </c>
      <c r="B48">
        <v>7</v>
      </c>
      <c r="C48" t="s">
        <v>40</v>
      </c>
      <c r="D48" t="s">
        <v>44</v>
      </c>
      <c r="E48" t="s">
        <v>65</v>
      </c>
      <c r="F48" t="s">
        <v>66</v>
      </c>
    </row>
    <row r="49" spans="1:6" x14ac:dyDescent="0.3">
      <c r="A49" t="s">
        <v>29</v>
      </c>
      <c r="B49">
        <v>8</v>
      </c>
      <c r="C49" t="s">
        <v>40</v>
      </c>
      <c r="D49" t="s">
        <v>44</v>
      </c>
      <c r="E49" t="s">
        <v>65</v>
      </c>
      <c r="F49" t="s">
        <v>66</v>
      </c>
    </row>
    <row r="50" spans="1:6" x14ac:dyDescent="0.3">
      <c r="A50" t="s">
        <v>30</v>
      </c>
      <c r="B50">
        <v>6</v>
      </c>
      <c r="C50" t="s">
        <v>41</v>
      </c>
      <c r="D50" t="s">
        <v>44</v>
      </c>
      <c r="E50" t="s">
        <v>67</v>
      </c>
      <c r="F50" t="s">
        <v>68</v>
      </c>
    </row>
    <row r="51" spans="1:6" x14ac:dyDescent="0.3">
      <c r="A51" t="s">
        <v>30</v>
      </c>
      <c r="B51">
        <v>7</v>
      </c>
      <c r="C51" t="s">
        <v>41</v>
      </c>
      <c r="D51" t="s">
        <v>44</v>
      </c>
      <c r="E51" t="s">
        <v>67</v>
      </c>
      <c r="F51" t="s">
        <v>68</v>
      </c>
    </row>
    <row r="52" spans="1:6" x14ac:dyDescent="0.3">
      <c r="A52" t="s">
        <v>30</v>
      </c>
      <c r="B52">
        <v>8</v>
      </c>
      <c r="C52" t="s">
        <v>41</v>
      </c>
      <c r="D52" t="s">
        <v>44</v>
      </c>
      <c r="E52" t="s">
        <v>67</v>
      </c>
      <c r="F52" t="s">
        <v>68</v>
      </c>
    </row>
  </sheetData>
  <mergeCells count="1">
    <mergeCell ref="A1:E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sqref="A1:E1"/>
    </sheetView>
  </sheetViews>
  <sheetFormatPr defaultRowHeight="14.4" x14ac:dyDescent="0.3"/>
  <cols>
    <col min="1" max="1" width="19.21875" customWidth="1"/>
    <col min="2" max="2" width="17.21875" customWidth="1"/>
    <col min="3" max="3" width="13.109375" customWidth="1"/>
    <col min="4" max="4" width="14.33203125" customWidth="1"/>
    <col min="5" max="5" width="27.21875" customWidth="1"/>
  </cols>
  <sheetData>
    <row r="1" spans="1:5" ht="15" thickBot="1" x14ac:dyDescent="0.35">
      <c r="A1" s="5" t="s">
        <v>18</v>
      </c>
      <c r="B1" s="6"/>
      <c r="C1" s="6"/>
      <c r="D1" s="6"/>
      <c r="E1" s="7"/>
    </row>
    <row r="2" spans="1:5" x14ac:dyDescent="0.3">
      <c r="A2" s="3" t="s">
        <v>13</v>
      </c>
      <c r="B2" s="3" t="s">
        <v>9</v>
      </c>
      <c r="C2" s="3" t="s">
        <v>14</v>
      </c>
      <c r="D2" s="3" t="s">
        <v>15</v>
      </c>
      <c r="E2" s="3" t="s">
        <v>16</v>
      </c>
    </row>
    <row r="3" spans="1:5" x14ac:dyDescent="0.3">
      <c r="A3">
        <v>2</v>
      </c>
      <c r="B3">
        <v>1.0926400675260379</v>
      </c>
      <c r="C3">
        <v>0</v>
      </c>
      <c r="D3">
        <v>9</v>
      </c>
      <c r="E3">
        <v>0</v>
      </c>
    </row>
    <row r="4" spans="1:5" x14ac:dyDescent="0.3">
      <c r="A4">
        <v>4</v>
      </c>
      <c r="B4">
        <v>0.93045627407332143</v>
      </c>
      <c r="C4">
        <v>6.9543725926678568E-2</v>
      </c>
      <c r="D4">
        <v>8</v>
      </c>
      <c r="E4">
        <v>0.55634980741342854</v>
      </c>
    </row>
    <row r="5" spans="1:5" x14ac:dyDescent="0.3">
      <c r="A5">
        <v>6</v>
      </c>
      <c r="B5">
        <v>0.72627472109895674</v>
      </c>
      <c r="C5">
        <v>0.27372527890104331</v>
      </c>
      <c r="D5">
        <v>7</v>
      </c>
      <c r="E5">
        <v>1.9160769523073029</v>
      </c>
    </row>
    <row r="6" spans="1:5" x14ac:dyDescent="0.3">
      <c r="A6">
        <v>8</v>
      </c>
      <c r="B6">
        <v>0.45987054034246111</v>
      </c>
      <c r="C6">
        <v>0.540129459657539</v>
      </c>
      <c r="D6">
        <v>6</v>
      </c>
      <c r="E6">
        <v>3.240776757945234</v>
      </c>
    </row>
    <row r="7" spans="1:5" x14ac:dyDescent="0.3">
      <c r="A7">
        <v>10</v>
      </c>
      <c r="B7">
        <v>0.57226680861850199</v>
      </c>
      <c r="C7">
        <v>0.42773319138149801</v>
      </c>
      <c r="D7">
        <v>5</v>
      </c>
      <c r="E7">
        <v>2.1386659569074902</v>
      </c>
    </row>
    <row r="8" spans="1:5" x14ac:dyDescent="0.3">
      <c r="A8">
        <v>12</v>
      </c>
      <c r="B8">
        <v>0.42750079067297059</v>
      </c>
      <c r="C8">
        <v>0.57249920932702936</v>
      </c>
      <c r="D8">
        <v>4</v>
      </c>
      <c r="E8">
        <v>2.289996837308117</v>
      </c>
    </row>
    <row r="9" spans="1:5" x14ac:dyDescent="0.3">
      <c r="A9">
        <v>14</v>
      </c>
      <c r="B9">
        <v>0.55978939150871354</v>
      </c>
      <c r="C9">
        <v>0.44021060849128651</v>
      </c>
      <c r="D9">
        <v>3</v>
      </c>
      <c r="E9">
        <v>1.3206318254738589</v>
      </c>
    </row>
    <row r="10" spans="1:5" x14ac:dyDescent="0.3">
      <c r="A10">
        <v>16</v>
      </c>
      <c r="B10">
        <v>0.53172148225931393</v>
      </c>
      <c r="C10">
        <v>0.46827851774068607</v>
      </c>
      <c r="D10">
        <v>2</v>
      </c>
      <c r="E10">
        <v>0.93655703548137215</v>
      </c>
    </row>
    <row r="11" spans="1:5" x14ac:dyDescent="0.3">
      <c r="A11">
        <v>18</v>
      </c>
      <c r="B11">
        <v>0.60895946174701032</v>
      </c>
      <c r="C11">
        <v>0.39104053825298968</v>
      </c>
      <c r="D11">
        <v>1</v>
      </c>
      <c r="E11">
        <v>0.39104053825298968</v>
      </c>
    </row>
    <row r="12" spans="1:5" x14ac:dyDescent="0.3">
      <c r="A12">
        <v>20</v>
      </c>
      <c r="B12">
        <v>0.65713022119366504</v>
      </c>
      <c r="C12">
        <v>0.34286977880633501</v>
      </c>
      <c r="D12">
        <v>0</v>
      </c>
      <c r="E12">
        <v>0</v>
      </c>
    </row>
    <row r="13" spans="1:5" x14ac:dyDescent="0.3">
      <c r="A13">
        <v>22</v>
      </c>
      <c r="B13">
        <v>0.99993078164246207</v>
      </c>
      <c r="C13">
        <v>0</v>
      </c>
      <c r="D13">
        <v>0</v>
      </c>
      <c r="E13">
        <v>0</v>
      </c>
    </row>
    <row r="14" spans="1:5" x14ac:dyDescent="0.3">
      <c r="A14">
        <v>24</v>
      </c>
      <c r="B14">
        <v>1.0516571592389361</v>
      </c>
      <c r="C14">
        <v>0</v>
      </c>
      <c r="D14">
        <v>0</v>
      </c>
      <c r="E14">
        <v>0</v>
      </c>
    </row>
    <row r="15" spans="1:5" x14ac:dyDescent="0.3">
      <c r="A15">
        <v>26</v>
      </c>
      <c r="B15">
        <v>0.83919661041871207</v>
      </c>
      <c r="C15">
        <v>0</v>
      </c>
      <c r="D15">
        <v>0</v>
      </c>
      <c r="E15">
        <v>0</v>
      </c>
    </row>
    <row r="16" spans="1:5" x14ac:dyDescent="0.3">
      <c r="A16">
        <v>28</v>
      </c>
      <c r="B16">
        <v>0.83618079293481318</v>
      </c>
      <c r="C16">
        <v>0</v>
      </c>
      <c r="D16">
        <v>0</v>
      </c>
      <c r="E16">
        <v>0</v>
      </c>
    </row>
    <row r="17" spans="1:5" x14ac:dyDescent="0.3">
      <c r="A17">
        <v>30</v>
      </c>
      <c r="B17">
        <v>1.0225014287083261</v>
      </c>
      <c r="C17">
        <v>0</v>
      </c>
      <c r="D17">
        <v>0</v>
      </c>
      <c r="E17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Utama</vt:lpstr>
      <vt:lpstr>Hasil Perhitungan SPT</vt:lpstr>
      <vt:lpstr>Tabel LPI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Kayhan Verleniasyah</cp:lastModifiedBy>
  <cp:lastPrinted>2026-05-06T07:05:32Z</cp:lastPrinted>
  <dcterms:created xsi:type="dcterms:W3CDTF">2026-05-03T14:27:40Z</dcterms:created>
  <dcterms:modified xsi:type="dcterms:W3CDTF">2026-05-06T07:38:19Z</dcterms:modified>
</cp:coreProperties>
</file>